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/>
  <xr:revisionPtr revIDLastSave="0" documentId="8_{17C5A06C-D747-43CE-BCD9-BE98C1233C5D}" xr6:coauthVersionLast="47" xr6:coauthVersionMax="47" xr10:uidLastSave="{00000000-0000-0000-0000-000000000000}"/>
  <bookViews>
    <workbookView xWindow="0" yWindow="0" windowWidth="18350" windowHeight="7760" firstSheet="2" xr2:uid="{00000000-000D-0000-FFFF-FFFF00000000}"/>
  </bookViews>
  <sheets>
    <sheet name="Paddy_Blending_Dashboard" sheetId="1" r:id="rId1"/>
    <sheet name="Paddy_Data_Upload" sheetId="2" r:id="rId2"/>
    <sheet name="Paddy_Settings" sheetId="3" r:id="rId3"/>
    <sheet name="Cotton_Blending_Dashboard" sheetId="4" r:id="rId4"/>
    <sheet name="Cotton_Data_Upload" sheetId="5" r:id="rId5"/>
    <sheet name="Cotton_Setting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4" l="1"/>
  <c r="L47" i="4"/>
  <c r="L46" i="4"/>
  <c r="L45" i="4"/>
  <c r="L44" i="4"/>
  <c r="L43" i="4"/>
  <c r="L42" i="4"/>
  <c r="L41" i="4"/>
  <c r="L40" i="4"/>
  <c r="L39" i="4"/>
  <c r="L38" i="4"/>
  <c r="L37" i="4"/>
  <c r="L36" i="4"/>
  <c r="A8" i="1" a="1"/>
  <c r="A8" i="1"/>
  <c r="F2" i="6" a="1"/>
  <c r="F2" i="6"/>
  <c r="D30" i="5"/>
  <c r="C30" i="5"/>
  <c r="A11" i="4" a="1"/>
  <c r="A11" i="4"/>
  <c r="E2" i="3" a="1"/>
  <c r="E2" i="3"/>
  <c r="C39" i="2"/>
  <c r="B9" i="1" l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K35" i="1"/>
  <c r="K33" i="1"/>
  <c r="K34" i="1"/>
  <c r="D8" i="1"/>
  <c r="E8" i="1" s="1"/>
  <c r="C8" i="1"/>
  <c r="B8" i="1"/>
  <c r="D11" i="4"/>
  <c r="C11" i="4"/>
  <c r="E11" i="4" s="1"/>
  <c r="I11" i="4" s="1"/>
  <c r="B11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K11" i="4"/>
  <c r="J11" i="4"/>
  <c r="H11" i="4"/>
  <c r="G11" i="4"/>
  <c r="F11" i="4"/>
  <c r="E12" i="4"/>
  <c r="I12" i="4" s="1"/>
  <c r="H12" i="4"/>
  <c r="F12" i="4"/>
  <c r="G12" i="4"/>
  <c r="E13" i="4"/>
  <c r="I13" i="4" s="1"/>
  <c r="E14" i="4"/>
  <c r="I14" i="4" s="1"/>
  <c r="E15" i="4"/>
  <c r="I15" i="4" s="1"/>
  <c r="E16" i="4"/>
  <c r="I16" i="4" s="1"/>
  <c r="E17" i="4"/>
  <c r="I17" i="4" s="1"/>
  <c r="E18" i="4"/>
  <c r="I18" i="4" s="1"/>
  <c r="E19" i="4"/>
  <c r="I19" i="4" s="1"/>
  <c r="E20" i="4"/>
  <c r="I20" i="4" s="1"/>
  <c r="E21" i="4"/>
  <c r="I21" i="4" s="1"/>
  <c r="E22" i="4"/>
  <c r="I22" i="4" s="1"/>
  <c r="E23" i="4"/>
  <c r="I23" i="4" s="1"/>
  <c r="E24" i="4"/>
  <c r="I24" i="4" s="1"/>
  <c r="E25" i="4"/>
  <c r="I25" i="4" s="1"/>
  <c r="E26" i="4"/>
  <c r="I26" i="4" s="1"/>
  <c r="E27" i="4"/>
  <c r="I27" i="4" s="1"/>
  <c r="E28" i="4"/>
  <c r="I28" i="4" s="1"/>
  <c r="E29" i="4"/>
  <c r="I29" i="4" s="1"/>
  <c r="E30" i="4"/>
  <c r="I30" i="4" s="1"/>
  <c r="E31" i="4"/>
  <c r="I31" i="4" s="1"/>
  <c r="E32" i="4"/>
  <c r="I32" i="4" s="1"/>
  <c r="E33" i="4"/>
  <c r="I33" i="4" s="1"/>
  <c r="E34" i="4"/>
  <c r="I34" i="4" s="1"/>
  <c r="F8" i="1"/>
  <c r="I8" i="1"/>
  <c r="H8" i="1"/>
  <c r="G8" i="1"/>
  <c r="F32" i="1" l="1"/>
  <c r="G32" i="1"/>
  <c r="H32" i="1"/>
  <c r="I32" i="1"/>
  <c r="F31" i="1"/>
  <c r="G31" i="1"/>
  <c r="H31" i="1"/>
  <c r="I31" i="1"/>
  <c r="F30" i="1"/>
  <c r="G30" i="1"/>
  <c r="H30" i="1"/>
  <c r="I30" i="1"/>
  <c r="F29" i="1"/>
  <c r="G29" i="1"/>
  <c r="H29" i="1"/>
  <c r="I29" i="1"/>
  <c r="F28" i="1"/>
  <c r="G28" i="1"/>
  <c r="H28" i="1"/>
  <c r="I28" i="1"/>
  <c r="F27" i="1"/>
  <c r="G27" i="1"/>
  <c r="H27" i="1"/>
  <c r="I27" i="1"/>
  <c r="F26" i="1"/>
  <c r="G26" i="1"/>
  <c r="H26" i="1"/>
  <c r="I26" i="1"/>
  <c r="F25" i="1"/>
  <c r="G25" i="1"/>
  <c r="H25" i="1"/>
  <c r="I25" i="1"/>
  <c r="F24" i="1"/>
  <c r="G24" i="1"/>
  <c r="H24" i="1"/>
  <c r="I24" i="1"/>
  <c r="F23" i="1"/>
  <c r="G23" i="1"/>
  <c r="H23" i="1"/>
  <c r="I23" i="1"/>
  <c r="F22" i="1"/>
  <c r="G22" i="1"/>
  <c r="H22" i="1"/>
  <c r="I22" i="1"/>
  <c r="F21" i="1"/>
  <c r="G21" i="1"/>
  <c r="H21" i="1"/>
  <c r="I21" i="1"/>
  <c r="F20" i="1"/>
  <c r="G20" i="1"/>
  <c r="H20" i="1"/>
  <c r="I20" i="1"/>
  <c r="F19" i="1"/>
  <c r="G19" i="1"/>
  <c r="H19" i="1"/>
  <c r="I19" i="1"/>
  <c r="F18" i="1"/>
  <c r="G18" i="1"/>
  <c r="H18" i="1"/>
  <c r="I18" i="1"/>
  <c r="F17" i="1"/>
  <c r="G17" i="1"/>
  <c r="H17" i="1"/>
  <c r="I17" i="1"/>
  <c r="F16" i="1"/>
  <c r="G16" i="1"/>
  <c r="H16" i="1"/>
  <c r="I16" i="1"/>
  <c r="F15" i="1"/>
  <c r="G15" i="1"/>
  <c r="H15" i="1"/>
  <c r="I15" i="1"/>
  <c r="F14" i="1"/>
  <c r="G14" i="1"/>
  <c r="H14" i="1"/>
  <c r="I14" i="1"/>
  <c r="F13" i="1"/>
  <c r="G13" i="1"/>
  <c r="H13" i="1"/>
  <c r="I13" i="1"/>
  <c r="F12" i="1"/>
  <c r="G12" i="1"/>
  <c r="H12" i="1"/>
  <c r="I12" i="1"/>
  <c r="F11" i="1"/>
  <c r="G11" i="1"/>
  <c r="H11" i="1"/>
  <c r="I11" i="1"/>
  <c r="F10" i="1"/>
  <c r="G10" i="1"/>
  <c r="H10" i="1"/>
  <c r="I10" i="1"/>
  <c r="F9" i="1"/>
  <c r="G9" i="1"/>
  <c r="H9" i="1"/>
  <c r="I9" i="1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H34" i="4"/>
  <c r="F34" i="4"/>
  <c r="G34" i="4"/>
  <c r="H33" i="4"/>
  <c r="F33" i="4"/>
  <c r="G33" i="4"/>
  <c r="H32" i="4"/>
  <c r="F32" i="4"/>
  <c r="G32" i="4"/>
  <c r="H31" i="4"/>
  <c r="F31" i="4"/>
  <c r="G31" i="4"/>
  <c r="H30" i="4"/>
  <c r="F30" i="4"/>
  <c r="G30" i="4"/>
  <c r="H29" i="4"/>
  <c r="F29" i="4"/>
  <c r="G29" i="4"/>
  <c r="H28" i="4"/>
  <c r="F28" i="4"/>
  <c r="G28" i="4"/>
  <c r="H27" i="4"/>
  <c r="F27" i="4"/>
  <c r="G27" i="4"/>
  <c r="H26" i="4"/>
  <c r="F26" i="4"/>
  <c r="G26" i="4"/>
  <c r="H25" i="4"/>
  <c r="F25" i="4"/>
  <c r="G25" i="4"/>
  <c r="H24" i="4"/>
  <c r="F24" i="4"/>
  <c r="G24" i="4"/>
  <c r="H23" i="4"/>
  <c r="F23" i="4"/>
  <c r="G23" i="4"/>
  <c r="H22" i="4"/>
  <c r="F22" i="4"/>
  <c r="G22" i="4"/>
  <c r="H21" i="4"/>
  <c r="F21" i="4"/>
  <c r="G21" i="4"/>
  <c r="H20" i="4"/>
  <c r="F20" i="4"/>
  <c r="G20" i="4"/>
  <c r="H19" i="4"/>
  <c r="F19" i="4"/>
  <c r="G19" i="4"/>
  <c r="H18" i="4"/>
  <c r="F18" i="4"/>
  <c r="G18" i="4"/>
  <c r="H17" i="4"/>
  <c r="F17" i="4"/>
  <c r="G17" i="4"/>
  <c r="H16" i="4"/>
  <c r="F16" i="4"/>
  <c r="G16" i="4"/>
  <c r="H15" i="4"/>
  <c r="F15" i="4"/>
  <c r="G15" i="4"/>
  <c r="H14" i="4"/>
  <c r="F14" i="4"/>
  <c r="G14" i="4"/>
  <c r="H13" i="4"/>
  <c r="F13" i="4"/>
  <c r="G13" i="4"/>
  <c r="F2" i="4"/>
  <c r="F6" i="4" s="1"/>
  <c r="F8" i="4"/>
  <c r="F7" i="4" l="1"/>
  <c r="G2" i="1" l="1"/>
  <c r="G4" i="1" l="1"/>
  <c r="G3" i="1"/>
  <c r="G6" i="1"/>
  <c r="G5" i="1"/>
  <c r="F1" i="1" s="1"/>
  <c r="F5" i="4"/>
  <c r="F4" i="4" l="1"/>
  <c r="F3" i="4"/>
  <c r="G1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<sst xmlns="http://schemas.openxmlformats.org/spreadsheetml/2006/main" count="390" uniqueCount="147">
  <si>
    <t>Location</t>
  </si>
  <si>
    <t>Target Needed (kg):</t>
  </si>
  <si>
    <t>KOTHURU COLD</t>
  </si>
  <si>
    <t>Total Stock Volume (kg)</t>
  </si>
  <si>
    <t>Blend First Count %</t>
  </si>
  <si>
    <t>Blend Final Germ %</t>
  </si>
  <si>
    <t>Blend OT-2 %</t>
  </si>
  <si>
    <t>Blend GP %</t>
  </si>
  <si>
    <t xml:space="preserve">Batch ID </t>
  </si>
  <si>
    <t xml:space="preserve">Chamber-Bin </t>
  </si>
  <si>
    <t xml:space="preserve">SAP Total </t>
  </si>
  <si>
    <t xml:space="preserve">Allocation Qty </t>
  </si>
  <si>
    <t>OT-2</t>
  </si>
  <si>
    <t>GP%</t>
  </si>
  <si>
    <t>FC</t>
  </si>
  <si>
    <t>Germ</t>
  </si>
  <si>
    <t>Storage Location</t>
  </si>
  <si>
    <t>Batch</t>
  </si>
  <si>
    <t>Category</t>
  </si>
  <si>
    <t>SAP Total</t>
  </si>
  <si>
    <t xml:space="preserve">OT-2% </t>
  </si>
  <si>
    <t>G.P %</t>
  </si>
  <si>
    <t>Phy.Pty</t>
  </si>
  <si>
    <t>First Count</t>
  </si>
  <si>
    <t>Final G%</t>
  </si>
  <si>
    <t>DOT</t>
  </si>
  <si>
    <t>Grade</t>
  </si>
  <si>
    <t>location</t>
  </si>
  <si>
    <t xml:space="preserve">Chamber </t>
  </si>
  <si>
    <t xml:space="preserve">Floor </t>
  </si>
  <si>
    <t>Bin</t>
  </si>
  <si>
    <t>KR237310</t>
  </si>
  <si>
    <t>FRS</t>
  </si>
  <si>
    <t>OK</t>
  </si>
  <si>
    <t>C</t>
  </si>
  <si>
    <t>CHAMBER-2</t>
  </si>
  <si>
    <t>F1</t>
  </si>
  <si>
    <t>D1</t>
  </si>
  <si>
    <t>KR237378</t>
  </si>
  <si>
    <t>F2</t>
  </si>
  <si>
    <t>A6</t>
  </si>
  <si>
    <t>KR237379</t>
  </si>
  <si>
    <t>KR237380</t>
  </si>
  <si>
    <t>A</t>
  </si>
  <si>
    <t>KR237309</t>
  </si>
  <si>
    <t>KR237382</t>
  </si>
  <si>
    <t>KR237383</t>
  </si>
  <si>
    <t>KR237387</t>
  </si>
  <si>
    <t>B</t>
  </si>
  <si>
    <t>KR237465</t>
  </si>
  <si>
    <t>KR237381</t>
  </si>
  <si>
    <t>KR237466</t>
  </si>
  <si>
    <t>KR237467</t>
  </si>
  <si>
    <t>KR237312</t>
  </si>
  <si>
    <t>KR237313</t>
  </si>
  <si>
    <t>KR237314</t>
  </si>
  <si>
    <t>KR237315</t>
  </si>
  <si>
    <t>KR237324</t>
  </si>
  <si>
    <t>KR237316</t>
  </si>
  <si>
    <t>KR237316M</t>
  </si>
  <si>
    <t>KR237317</t>
  </si>
  <si>
    <t>KR237318</t>
  </si>
  <si>
    <t>KR237319</t>
  </si>
  <si>
    <t>KR237320</t>
  </si>
  <si>
    <t>KR237322</t>
  </si>
  <si>
    <t>KR237311</t>
  </si>
  <si>
    <t>RF7543N63</t>
  </si>
  <si>
    <t>Inventory</t>
  </si>
  <si>
    <t>BVN COLD</t>
  </si>
  <si>
    <t>CHAMBER1</t>
  </si>
  <si>
    <t>F-1</t>
  </si>
  <si>
    <t>B-20</t>
  </si>
  <si>
    <t>RF7783N06</t>
  </si>
  <si>
    <t>RF7842N36</t>
  </si>
  <si>
    <t>D-11</t>
  </si>
  <si>
    <t>WR2120594</t>
  </si>
  <si>
    <t>D-3</t>
  </si>
  <si>
    <t>RF9885C45</t>
  </si>
  <si>
    <t>RF8146B59</t>
  </si>
  <si>
    <t>RF5720B50</t>
  </si>
  <si>
    <t>ER1959CPB</t>
  </si>
  <si>
    <t>C-8</t>
  </si>
  <si>
    <t>Row</t>
  </si>
  <si>
    <t>Column A (Parameter)</t>
  </si>
  <si>
    <t>Column B (Min Target)</t>
  </si>
  <si>
    <t>Column C (Max Target)</t>
  </si>
  <si>
    <t>Parameter</t>
  </si>
  <si>
    <t>Min Value</t>
  </si>
  <si>
    <t>Max Value</t>
  </si>
  <si>
    <t>First Count %</t>
  </si>
  <si>
    <t>Target GP %</t>
  </si>
  <si>
    <t>OT %</t>
  </si>
  <si>
    <t>Germination %</t>
  </si>
  <si>
    <t xml:space="preserve">Location </t>
  </si>
  <si>
    <t>Target Needed (kg) Input</t>
  </si>
  <si>
    <t>Blend Germ %</t>
  </si>
  <si>
    <t>Blend CRY-1 %</t>
  </si>
  <si>
    <t>Blend CRY-2 %</t>
  </si>
  <si>
    <t>Blend Self %</t>
  </si>
  <si>
    <t>Blend OT %</t>
  </si>
  <si>
    <t>Lot no</t>
  </si>
  <si>
    <t>Lot Location</t>
  </si>
  <si>
    <t>Qty in kg</t>
  </si>
  <si>
    <t>Packets</t>
  </si>
  <si>
    <t>Allocation Qty</t>
  </si>
  <si>
    <t>Cry-1</t>
  </si>
  <si>
    <t>Cry-2</t>
  </si>
  <si>
    <t>GP</t>
  </si>
  <si>
    <t>Self</t>
  </si>
  <si>
    <t>OT</t>
  </si>
  <si>
    <t>CRY-1 %</t>
  </si>
  <si>
    <t>CRY-2%</t>
  </si>
  <si>
    <t>Self%</t>
  </si>
  <si>
    <t>OT%</t>
  </si>
  <si>
    <t>SK2313258</t>
  </si>
  <si>
    <t>SK2311828</t>
  </si>
  <si>
    <t>SK2311881</t>
  </si>
  <si>
    <t>SK2312996</t>
  </si>
  <si>
    <t>SK2313151</t>
  </si>
  <si>
    <t>SK2313098</t>
  </si>
  <si>
    <t>SK2313182</t>
  </si>
  <si>
    <t>SK2313006</t>
  </si>
  <si>
    <t>SK2313145</t>
  </si>
  <si>
    <t>SK2311878</t>
  </si>
  <si>
    <t>SK2311882</t>
  </si>
  <si>
    <t>SK2313144</t>
  </si>
  <si>
    <t>SK2313004</t>
  </si>
  <si>
    <t>SK2316143</t>
  </si>
  <si>
    <t>SK2317249</t>
  </si>
  <si>
    <t>SK2313167</t>
  </si>
  <si>
    <t>SK2313231</t>
  </si>
  <si>
    <t>SK2313247</t>
  </si>
  <si>
    <t>SK2313168</t>
  </si>
  <si>
    <t>SK2313235</t>
  </si>
  <si>
    <t>SK2313237</t>
  </si>
  <si>
    <t>SK2313246</t>
  </si>
  <si>
    <t>SK2311836</t>
  </si>
  <si>
    <t>SK2313379</t>
  </si>
  <si>
    <t>SK2318939</t>
  </si>
  <si>
    <t>SK2318945</t>
  </si>
  <si>
    <t>P1 Min</t>
  </si>
  <si>
    <t>P1 Max</t>
  </si>
  <si>
    <t>P2 Range</t>
  </si>
  <si>
    <t>Germ %</t>
  </si>
  <si>
    <t>CRY-2 %</t>
  </si>
  <si>
    <t>GP %</t>
  </si>
  <si>
    <t>Self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</si>
</sst>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_ * #,##0.00_ ;_ * \-#,##0.00_ ;_ * &quot;-&quot;??_ ;_ @_ "/>
    <numFmt numFmtId="165" formatCode="mm/dd/yy;@"/>
    <numFmt numFmtId="166" formatCode="0.0"/>
    <numFmt numFmtId="167" formatCode="[$-409]dd/mmm/yy;@"/>
    <numFmt numFmtId="169" formatCode="[$-14009]d\.m\.yy;@"/>
    <numFmt numFmtId="170" formatCode="0.0%"/>
  </numFmts>
  <fonts count="1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9"/>
      <color theme="1"/>
      <name val="Arial"/>
      <charset val="134"/>
    </font>
    <font>
      <sz val="10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5">
    <xf numFmtId="0" fontId="0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0" borderId="0"/>
    <xf numFmtId="0" fontId="3" fillId="0" borderId="0"/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0" fillId="2" borderId="0" xfId="0" applyFill="1">
      <alignment vertical="center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9" fontId="6" fillId="0" borderId="2" xfId="0" applyNumberFormat="1" applyFont="1" applyBorder="1" applyAlignment="1">
      <alignment vertical="center" wrapText="1"/>
    </xf>
    <xf numFmtId="10" fontId="6" fillId="0" borderId="2" xfId="0" applyNumberFormat="1" applyFont="1" applyBorder="1" applyAlignment="1">
      <alignment vertical="center" wrapText="1"/>
    </xf>
    <xf numFmtId="0" fontId="7" fillId="0" borderId="0" xfId="0" applyFont="1" applyAlignment="1"/>
    <xf numFmtId="0" fontId="8" fillId="0" borderId="0" xfId="3" applyFont="1" applyAlignment="1">
      <alignment horizontal="left" wrapText="1"/>
    </xf>
    <xf numFmtId="0" fontId="9" fillId="0" borderId="0" xfId="4" applyFont="1" applyAlignment="1">
      <alignment horizontal="center"/>
    </xf>
    <xf numFmtId="169" fontId="9" fillId="0" borderId="0" xfId="4" applyNumberFormat="1" applyFont="1" applyAlignment="1">
      <alignment horizontal="center"/>
    </xf>
    <xf numFmtId="0" fontId="9" fillId="0" borderId="0" xfId="0" applyFont="1" applyAlignment="1"/>
    <xf numFmtId="0" fontId="9" fillId="2" borderId="0" xfId="4" applyFont="1" applyFill="1" applyAlignment="1">
      <alignment horizontal="center"/>
    </xf>
    <xf numFmtId="0" fontId="0" fillId="0" borderId="0" xfId="0" applyAlignment="1"/>
    <xf numFmtId="10" fontId="0" fillId="0" borderId="0" xfId="0" applyNumberFormat="1">
      <alignment vertical="center"/>
    </xf>
    <xf numFmtId="14" fontId="0" fillId="0" borderId="0" xfId="1" applyNumberFormat="1" applyFont="1">
      <alignment vertical="center"/>
    </xf>
    <xf numFmtId="14" fontId="0" fillId="0" borderId="0" xfId="0" applyNumberFormat="1">
      <alignment vertical="center"/>
    </xf>
    <xf numFmtId="43" fontId="0" fillId="0" borderId="0" xfId="1" applyNumberFormat="1" applyFont="1">
      <alignment vertical="center"/>
    </xf>
    <xf numFmtId="10" fontId="3" fillId="0" borderId="0" xfId="2" applyNumberFormat="1">
      <alignment vertical="center"/>
    </xf>
    <xf numFmtId="0" fontId="7" fillId="0" borderId="0" xfId="0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9" fontId="7" fillId="0" borderId="0" xfId="0" applyNumberFormat="1" applyFont="1" applyAlignment="1">
      <alignment horizontal="center"/>
    </xf>
    <xf numFmtId="164" fontId="3" fillId="0" borderId="0" xfId="1">
      <alignment vertical="center"/>
    </xf>
    <xf numFmtId="0" fontId="7" fillId="3" borderId="0" xfId="0" applyFont="1" applyFill="1" applyAlignment="1"/>
    <xf numFmtId="9" fontId="0" fillId="0" borderId="0" xfId="0" applyNumberFormat="1">
      <alignment vertical="center"/>
    </xf>
    <xf numFmtId="170" fontId="3" fillId="0" borderId="0" xfId="2" applyNumberFormat="1">
      <alignment vertical="center"/>
    </xf>
    <xf numFmtId="0" fontId="3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2" applyNumberFormat="1">
      <alignment vertical="center"/>
    </xf>
    <xf numFmtId="2" fontId="3" fillId="0" borderId="0" xfId="2" applyNumberFormat="1">
      <alignment vertical="center"/>
    </xf>
    <xf numFmtId="0" fontId="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43" fontId="0" fillId="0" borderId="0" xfId="0" applyNumberFormat="1">
      <alignment vertical="center"/>
    </xf>
    <xf numFmtId="2" fontId="0" fillId="0" borderId="0" xfId="1" applyNumberFormat="1" applyFont="1">
      <alignment vertical="center"/>
    </xf>
    <xf numFmtId="9" fontId="3" fillId="0" borderId="0" xfId="1" applyNumberFormat="1">
      <alignment vertical="center"/>
    </xf>
    <xf numFmtId="0" fontId="3" fillId="0" borderId="0" xfId="1" applyNumberFormat="1">
      <alignment vertical="center"/>
    </xf>
  </cellXfs>
  <cellStyles count="5">
    <cellStyle name="Comma" xfId="1" builtinId="3"/>
    <cellStyle name="Normal" xfId="0" builtinId="0"/>
    <cellStyle name="Normal 3" xfId="3" xr:uid="{00000000-0005-0000-0000-000031000000}"/>
    <cellStyle name="Normal 4" xfId="4" xr:uid="{00000000-0005-0000-0000-000032000000}"/>
    <cellStyle name="Percent" xfId="2" builtinId="5"/>
  </cellStyles>
  <dxfs count="2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"/>
  <sheetViews>
    <sheetView tabSelected="1" zoomScale="70" zoomScaleNormal="70" workbookViewId="0">
      <selection activeCell="B2" sqref="B2:C2"/>
    </sheetView>
  </sheetViews>
  <sheetFormatPr defaultColWidth="8.75" defaultRowHeight="13.5" customHeight="1"/>
  <cols>
    <col min="1" max="1" width="11.625" customWidth="1"/>
    <col min="2" max="2" width="15.5" customWidth="1"/>
    <col min="3" max="3" width="16.125" customWidth="1"/>
    <col min="4" max="4" width="18.875" customWidth="1"/>
    <col min="5" max="5" width="22.25" customWidth="1"/>
    <col min="6" max="6" width="29.375" customWidth="1"/>
    <col min="7" max="7" width="17" style="24" customWidth="1"/>
    <col min="8" max="8" width="14" customWidth="1"/>
    <col min="9" max="9" width="12.875" style="24"/>
    <col min="10" max="10" width="13.5" customWidth="1"/>
    <col min="11" max="11" width="14.125" customWidth="1"/>
  </cols>
  <sheetData>
    <row r="1" spans="1:9">
      <c r="B1" s="12" t="s">
        <v>0</v>
      </c>
      <c r="D1" t="s">
        <v>1</v>
      </c>
      <c r="E1" s="12">
        <v>820</v>
      </c>
      <c r="F1" t="str">
        <f>IF(G2=0, "No Allocated Stock",
  IF(AND(G5&gt;=0.01, G5&lt;=0.015, G6&gt;=0.95, G3&gt;=0.75, G4&gt;=0.8), "✅ Blend Fully Optimized (Priority 1)",
  IF(AND(G5&gt;=0, G5&lt;=0.03), "⚠️ Priority 2 Range (0.0% - 3.0%)",
  "❌ Rejected (Out of Bounds)")))</f>
        <v>❌ Rejected (Out of Bounds)</v>
      </c>
    </row>
    <row r="2" spans="1:9">
      <c r="B2" t="s">
        <v>2</v>
      </c>
      <c r="E2" t="s">
        <v>3</v>
      </c>
      <c r="G2">
        <f>SUM(E8:E200)</f>
        <v>820</v>
      </c>
    </row>
    <row r="3" spans="1:9">
      <c r="E3" t="s">
        <v>4</v>
      </c>
      <c r="G3" s="37">
        <f>IFERROR(SUM(H8:H200) / (G2 * 100), 0)</f>
        <v>0.83053658536585362</v>
      </c>
    </row>
    <row r="4" spans="1:9">
      <c r="E4" t="s">
        <v>5</v>
      </c>
      <c r="G4" s="28">
        <f>IFERROR(SUM(I8:I200) / (G2 * 100), 0)</f>
        <v>0.83182926829268289</v>
      </c>
    </row>
    <row r="5" spans="1:9">
      <c r="E5" t="s">
        <v>6</v>
      </c>
      <c r="G5" s="28">
        <f>IFERROR(SUM(F8:F200) / (G2 * 100), 0)</f>
        <v>4.702270854911491E-2</v>
      </c>
    </row>
    <row r="6" spans="1:9">
      <c r="E6" t="s">
        <v>7</v>
      </c>
      <c r="G6" s="28">
        <f>IFERROR(SUM(G8:G200) / (G2 * 100), 0)</f>
        <v>0.94734719198672712</v>
      </c>
    </row>
    <row r="7" spans="1:9">
      <c r="A7" t="s">
        <v>8</v>
      </c>
      <c r="B7" t="s">
        <v>0</v>
      </c>
      <c r="C7" t="s">
        <v>9</v>
      </c>
      <c r="D7" t="s">
        <v>10</v>
      </c>
      <c r="E7" t="s">
        <v>11</v>
      </c>
      <c r="F7" s="22" t="s">
        <v>12</v>
      </c>
      <c r="G7" s="22" t="s">
        <v>13</v>
      </c>
      <c r="H7" s="22" t="s">
        <v>14</v>
      </c>
      <c r="I7" s="22" t="s">
        <v>15</v>
      </c>
    </row>
    <row r="8" spans="1:9">
      <c r="A8" t="str" cm="1">
        <f t="array" ref="A8:A32">_xlfn._xlws.FILTER(Paddy_Data_Upload!A4:A1000,Paddy_Data_Upload!K4:K1000=$B$2,"No Batches")</f>
        <v>KR237310</v>
      </c>
      <c r="B8" t="str">
        <f>IF(A8&lt;&gt;"",$B$2,"")</f>
        <v>KOTHURU COLD</v>
      </c>
      <c r="C8" t="str">
        <f>IF(A8&lt;&gt;"",_xlfn.XLOOKUP(A8,Paddy_Data_Upload!A:A,Paddy_Data_Upload!L:L)&amp;"-"&amp;_xlfn.XLOOKUP(A8,Paddy_Data_Upload!A:A,Paddy_Data_Upload!N:N),"")</f>
        <v>CHAMBER-2-D1</v>
      </c>
      <c r="D8">
        <f>IF(A8&lt;&gt;"",_xlfn.XLOOKUP(A8,Paddy_Data_Upload!A:A,Paddy_Data_Upload!C:C),0)</f>
        <v>626</v>
      </c>
      <c r="E8">
        <f>MIN(D8, MAX(0, $E$1 - SUM($E$7:E7)))</f>
        <v>626</v>
      </c>
      <c r="F8" s="41">
        <f>D8 * _xlfn.XLOOKUP(A8, Paddy_Data_Upload!A:A, Paddy_Data_Upload!D:D)</f>
        <v>3724.485125858122</v>
      </c>
      <c r="G8" s="41">
        <f>E8 * _xlfn.XLOOKUP(A8, Paddy_Data_Upload!A:A, Paddy_Data_Upload!E:E)</f>
        <v>58589.016018306662</v>
      </c>
      <c r="H8" s="40">
        <f>E8 * _xlfn.XLOOKUP(A8, Paddy_Data_Upload!A:A, Paddy_Data_Upload!G:G)</f>
        <v>52584</v>
      </c>
      <c r="I8" s="40">
        <f>E8 * _xlfn.XLOOKUP(A8, Paddy_Data_Upload!A:A, Paddy_Data_Upload!H:H)</f>
        <v>51332</v>
      </c>
    </row>
    <row r="9" spans="1:9">
      <c r="A9" t="str">
        <v>KR237378</v>
      </c>
      <c r="B9" t="str">
        <f t="shared" ref="B9:B32" si="0">IF(A9&lt;&gt;"",$B$2,"")</f>
        <v>KOTHURU COLD</v>
      </c>
      <c r="C9" t="str">
        <f>IF(A9&lt;&gt;"",_xlfn.XLOOKUP(A9,Paddy_Data_Upload!A:A,Paddy_Data_Upload!L:L)&amp;"-"&amp;_xlfn.XLOOKUP(A9,Paddy_Data_Upload!A:A,Paddy_Data_Upload!N:N),"")</f>
        <v>CHAMBER-2-A6</v>
      </c>
      <c r="D9">
        <f>IF(A9&lt;&gt;"",_xlfn.XLOOKUP(A9,Paddy_Data_Upload!A:A,Paddy_Data_Upload!C:C),0)</f>
        <v>957</v>
      </c>
      <c r="E9">
        <f>MIN(D9, MAX(0, $E$1 - SUM($E$7:E8)))</f>
        <v>194</v>
      </c>
      <c r="F9" s="41">
        <f>E9 * _xlfn.XLOOKUP(A9, Paddy_Data_Upload!A:A, Paddy_Data_Upload!D:D)</f>
        <v>131.37697516930018</v>
      </c>
      <c r="G9" s="41">
        <f>E9 * _xlfn.XLOOKUP(A9, Paddy_Data_Upload!A:A, Paddy_Data_Upload!E:E)</f>
        <v>19093.453724604962</v>
      </c>
      <c r="H9" s="40">
        <f>E9 * _xlfn.XLOOKUP(A9, Paddy_Data_Upload!A:A, Paddy_Data_Upload!G:G)</f>
        <v>15520</v>
      </c>
      <c r="I9" s="40">
        <f>E9 * _xlfn.XLOOKUP(A9, Paddy_Data_Upload!A:A, Paddy_Data_Upload!H:H)</f>
        <v>16878</v>
      </c>
    </row>
    <row r="10" spans="1:9">
      <c r="A10" t="str">
        <v>KR237379</v>
      </c>
      <c r="B10" t="str">
        <f t="shared" si="0"/>
        <v>KOTHURU COLD</v>
      </c>
      <c r="C10" t="str">
        <f>IF(A10&lt;&gt;"",_xlfn.XLOOKUP(A10,Paddy_Data_Upload!A:A,Paddy_Data_Upload!L:L)&amp;"-"&amp;_xlfn.XLOOKUP(A10,Paddy_Data_Upload!A:A,Paddy_Data_Upload!N:N),"")</f>
        <v>CHAMBER-2-A6</v>
      </c>
      <c r="D10">
        <f>IF(A10&lt;&gt;"",_xlfn.XLOOKUP(A10,Paddy_Data_Upload!A:A,Paddy_Data_Upload!C:C),0)</f>
        <v>1720</v>
      </c>
      <c r="E10">
        <f>MIN(D10, MAX(0, $E$1 - SUM($E$7:E9)))</f>
        <v>0</v>
      </c>
      <c r="F10" s="41">
        <f>E10 * _xlfn.XLOOKUP(A10, Paddy_Data_Upload!A:A, Paddy_Data_Upload!D:D)</f>
        <v>0</v>
      </c>
      <c r="G10" s="41">
        <f>E10 * _xlfn.XLOOKUP(A10, Paddy_Data_Upload!A:A, Paddy_Data_Upload!E:E)</f>
        <v>0</v>
      </c>
      <c r="H10" s="40">
        <f>E10 * _xlfn.XLOOKUP(A10, Paddy_Data_Upload!A:A, Paddy_Data_Upload!G:G)</f>
        <v>0</v>
      </c>
      <c r="I10" s="40">
        <f>E10 * _xlfn.XLOOKUP(A10, Paddy_Data_Upload!A:A, Paddy_Data_Upload!H:H)</f>
        <v>0</v>
      </c>
    </row>
    <row r="11" spans="1:9">
      <c r="A11" s="42" t="str">
        <v>KR237380</v>
      </c>
      <c r="B11" t="str">
        <f t="shared" si="0"/>
        <v>KOTHURU COLD</v>
      </c>
      <c r="C11" t="str">
        <f>IF(A11&lt;&gt;"",_xlfn.XLOOKUP(A11,Paddy_Data_Upload!A:A,Paddy_Data_Upload!L:L)&amp;"-"&amp;_xlfn.XLOOKUP(A11,Paddy_Data_Upload!A:A,Paddy_Data_Upload!N:N),"")</f>
        <v>CHAMBER-2-A6</v>
      </c>
      <c r="D11">
        <f>IF(A11&lt;&gt;"",_xlfn.XLOOKUP(A11,Paddy_Data_Upload!A:A,Paddy_Data_Upload!C:C),0)</f>
        <v>1196</v>
      </c>
      <c r="E11">
        <f>MIN(D11, MAX(0, $E$1 - SUM($E$7:E10)))</f>
        <v>0</v>
      </c>
      <c r="F11" s="41">
        <f>E11 * _xlfn.XLOOKUP(A11, Paddy_Data_Upload!A:A, Paddy_Data_Upload!D:D)</f>
        <v>0</v>
      </c>
      <c r="G11" s="41">
        <f>E11 * _xlfn.XLOOKUP(A11, Paddy_Data_Upload!A:A, Paddy_Data_Upload!E:E)</f>
        <v>0</v>
      </c>
      <c r="H11" s="40">
        <f>E11 * _xlfn.XLOOKUP(A11, Paddy_Data_Upload!A:A, Paddy_Data_Upload!G:G)</f>
        <v>0</v>
      </c>
      <c r="I11" s="40">
        <f>E11 * _xlfn.XLOOKUP(A11, Paddy_Data_Upload!A:A, Paddy_Data_Upload!H:H)</f>
        <v>0</v>
      </c>
    </row>
    <row r="12" spans="1:9">
      <c r="A12" t="str">
        <v>KR237309</v>
      </c>
      <c r="B12" t="str">
        <f t="shared" si="0"/>
        <v>KOTHURU COLD</v>
      </c>
      <c r="C12" t="str">
        <f>IF(A12&lt;&gt;"",_xlfn.XLOOKUP(A12,Paddy_Data_Upload!A:A,Paddy_Data_Upload!L:L)&amp;"-"&amp;_xlfn.XLOOKUP(A12,Paddy_Data_Upload!A:A,Paddy_Data_Upload!N:N),"")</f>
        <v>CHAMBER-2-D1</v>
      </c>
      <c r="D12">
        <f>IF(A12&lt;&gt;"",_xlfn.XLOOKUP(A12,Paddy_Data_Upload!A:A,Paddy_Data_Upload!C:C),0)</f>
        <v>582</v>
      </c>
      <c r="E12">
        <f>MIN(D12, MAX(0, $E$1 - SUM($E$7:E11)))</f>
        <v>0</v>
      </c>
      <c r="F12" s="41">
        <f>E12 * _xlfn.XLOOKUP(A12, Paddy_Data_Upload!A:A, Paddy_Data_Upload!D:D)</f>
        <v>0</v>
      </c>
      <c r="G12" s="41">
        <f>E12 * _xlfn.XLOOKUP(A12, Paddy_Data_Upload!A:A, Paddy_Data_Upload!E:E)</f>
        <v>0</v>
      </c>
      <c r="H12" s="40">
        <f>E12 * _xlfn.XLOOKUP(A12, Paddy_Data_Upload!A:A, Paddy_Data_Upload!G:G)</f>
        <v>0</v>
      </c>
      <c r="I12" s="40">
        <f>E12 * _xlfn.XLOOKUP(A12, Paddy_Data_Upload!A:A, Paddy_Data_Upload!H:H)</f>
        <v>0</v>
      </c>
    </row>
    <row r="13" spans="1:9">
      <c r="A13" t="str">
        <v>KR237382</v>
      </c>
      <c r="B13" t="str">
        <f t="shared" si="0"/>
        <v>KOTHURU COLD</v>
      </c>
      <c r="C13" t="str">
        <f>IF(A13&lt;&gt;"",_xlfn.XLOOKUP(A13,Paddy_Data_Upload!A:A,Paddy_Data_Upload!L:L)&amp;"-"&amp;_xlfn.XLOOKUP(A13,Paddy_Data_Upload!A:A,Paddy_Data_Upload!N:N),"")</f>
        <v>CHAMBER-2-A6</v>
      </c>
      <c r="D13">
        <f>IF(A13&lt;&gt;"",_xlfn.XLOOKUP(A13,Paddy_Data_Upload!A:A,Paddy_Data_Upload!C:C),0)</f>
        <v>1795</v>
      </c>
      <c r="E13">
        <f>MIN(D13, MAX(0, $E$1 - SUM($E$7:E12)))</f>
        <v>0</v>
      </c>
      <c r="F13" s="41">
        <f>E13 * _xlfn.XLOOKUP(A13, Paddy_Data_Upload!A:A, Paddy_Data_Upload!D:D)</f>
        <v>0</v>
      </c>
      <c r="G13" s="41">
        <f>E13 * _xlfn.XLOOKUP(A13, Paddy_Data_Upload!A:A, Paddy_Data_Upload!E:E)</f>
        <v>0</v>
      </c>
      <c r="H13" s="40">
        <f>E13 * _xlfn.XLOOKUP(A13, Paddy_Data_Upload!A:A, Paddy_Data_Upload!G:G)</f>
        <v>0</v>
      </c>
      <c r="I13" s="40">
        <f>E13 * _xlfn.XLOOKUP(A13, Paddy_Data_Upload!A:A, Paddy_Data_Upload!H:H)</f>
        <v>0</v>
      </c>
    </row>
    <row r="14" spans="1:9">
      <c r="A14" t="str">
        <v>KR237383</v>
      </c>
      <c r="B14" t="str">
        <f t="shared" si="0"/>
        <v>KOTHURU COLD</v>
      </c>
      <c r="C14" t="str">
        <f>IF(A14&lt;&gt;"",_xlfn.XLOOKUP(A14,Paddy_Data_Upload!A:A,Paddy_Data_Upload!L:L)&amp;"-"&amp;_xlfn.XLOOKUP(A14,Paddy_Data_Upload!A:A,Paddy_Data_Upload!N:N),"")</f>
        <v>CHAMBER-2-A6</v>
      </c>
      <c r="D14">
        <f>IF(A14&lt;&gt;"",_xlfn.XLOOKUP(A14,Paddy_Data_Upload!A:A,Paddy_Data_Upload!C:C),0)</f>
        <v>948</v>
      </c>
      <c r="E14">
        <f>MIN(D14, MAX(0, $E$1 - SUM($E$7:E13)))</f>
        <v>0</v>
      </c>
      <c r="F14" s="41">
        <f>E14 * _xlfn.XLOOKUP(A14, Paddy_Data_Upload!A:A, Paddy_Data_Upload!D:D)</f>
        <v>0</v>
      </c>
      <c r="G14" s="41">
        <f>E14 * _xlfn.XLOOKUP(A14, Paddy_Data_Upload!A:A, Paddy_Data_Upload!E:E)</f>
        <v>0</v>
      </c>
      <c r="H14" s="40">
        <f>E14 * _xlfn.XLOOKUP(A14, Paddy_Data_Upload!A:A, Paddy_Data_Upload!G:G)</f>
        <v>0</v>
      </c>
      <c r="I14" s="40">
        <f>E14 * _xlfn.XLOOKUP(A14, Paddy_Data_Upload!A:A, Paddy_Data_Upload!H:H)</f>
        <v>0</v>
      </c>
    </row>
    <row r="15" spans="1:9">
      <c r="A15" s="42" t="str">
        <v>KR237387</v>
      </c>
      <c r="B15" t="str">
        <f t="shared" si="0"/>
        <v>KOTHURU COLD</v>
      </c>
      <c r="C15" t="str">
        <f>IF(A15&lt;&gt;"",_xlfn.XLOOKUP(A15,Paddy_Data_Upload!A:A,Paddy_Data_Upload!L:L)&amp;"-"&amp;_xlfn.XLOOKUP(A15,Paddy_Data_Upload!A:A,Paddy_Data_Upload!N:N),"")</f>
        <v>CHAMBER-2-A6</v>
      </c>
      <c r="D15">
        <f>IF(A15&lt;&gt;"",_xlfn.XLOOKUP(A15,Paddy_Data_Upload!A:A,Paddy_Data_Upload!C:C),0)</f>
        <v>1077</v>
      </c>
      <c r="E15">
        <f>MIN(D15, MAX(0, $E$1 - SUM($E$7:E14)))</f>
        <v>0</v>
      </c>
      <c r="F15" s="41">
        <f>E15 * _xlfn.XLOOKUP(A15, Paddy_Data_Upload!A:A, Paddy_Data_Upload!D:D)</f>
        <v>0</v>
      </c>
      <c r="G15" s="41">
        <f>E15 * _xlfn.XLOOKUP(A15, Paddy_Data_Upload!A:A, Paddy_Data_Upload!E:E)</f>
        <v>0</v>
      </c>
      <c r="H15" s="40">
        <f>E15 * _xlfn.XLOOKUP(A15, Paddy_Data_Upload!A:A, Paddy_Data_Upload!G:G)</f>
        <v>0</v>
      </c>
      <c r="I15" s="40">
        <f>E15 * _xlfn.XLOOKUP(A15, Paddy_Data_Upload!A:A, Paddy_Data_Upload!H:H)</f>
        <v>0</v>
      </c>
    </row>
    <row r="16" spans="1:9">
      <c r="A16" t="str">
        <v>KR237465</v>
      </c>
      <c r="B16" t="str">
        <f t="shared" ref="B16:B17" si="1">IF(A16&lt;&gt;"",$B$2,"")</f>
        <v>KOTHURU COLD</v>
      </c>
      <c r="C16" t="str">
        <f>IF(A16&lt;&gt;"",_xlfn.XLOOKUP(A16,Paddy_Data_Upload!A:A,Paddy_Data_Upload!L:L)&amp;"-"&amp;_xlfn.XLOOKUP(A16,Paddy_Data_Upload!A:A,Paddy_Data_Upload!N:N),"")</f>
        <v>CHAMBER-2-A6</v>
      </c>
      <c r="D16">
        <f>IF(A16&lt;&gt;"",_xlfn.XLOOKUP(A16,Paddy_Data_Upload!A:A,Paddy_Data_Upload!C:C),0)</f>
        <v>1196</v>
      </c>
      <c r="E16">
        <f>MIN(D16, MAX(0, $E$1 - SUM($E$7:E15)))</f>
        <v>0</v>
      </c>
      <c r="F16" s="41">
        <f>E16 * _xlfn.XLOOKUP(A16, Paddy_Data_Upload!A:A, Paddy_Data_Upload!D:D)</f>
        <v>0</v>
      </c>
      <c r="G16" s="41">
        <f>E16 * _xlfn.XLOOKUP(A16, Paddy_Data_Upload!A:A, Paddy_Data_Upload!E:E)</f>
        <v>0</v>
      </c>
      <c r="H16" s="40">
        <f>E16 * _xlfn.XLOOKUP(A16, Paddy_Data_Upload!A:A, Paddy_Data_Upload!G:G)</f>
        <v>0</v>
      </c>
      <c r="I16" s="40">
        <f>E16 * _xlfn.XLOOKUP(A16, Paddy_Data_Upload!A:A, Paddy_Data_Upload!H:H)</f>
        <v>0</v>
      </c>
    </row>
    <row r="17" spans="1:9">
      <c r="A17" t="str">
        <v>KR237381</v>
      </c>
      <c r="B17" t="str">
        <f t="shared" si="1"/>
        <v>KOTHURU COLD</v>
      </c>
      <c r="C17" t="str">
        <f>IF(A17&lt;&gt;"",_xlfn.XLOOKUP(A17,Paddy_Data_Upload!A:A,Paddy_Data_Upload!L:L)&amp;"-"&amp;_xlfn.XLOOKUP(A17,Paddy_Data_Upload!A:A,Paddy_Data_Upload!N:N),"")</f>
        <v>CHAMBER-2-A6</v>
      </c>
      <c r="D17">
        <f>IF(A17&lt;&gt;"",_xlfn.XLOOKUP(A17,Paddy_Data_Upload!A:A,Paddy_Data_Upload!C:C),0)</f>
        <v>1795</v>
      </c>
      <c r="E17">
        <f>MIN(D17, MAX(0, $E$1 - SUM($E$7:E16)))</f>
        <v>0</v>
      </c>
      <c r="F17" s="41">
        <f>E17 * _xlfn.XLOOKUP(A17, Paddy_Data_Upload!A:A, Paddy_Data_Upload!D:D)</f>
        <v>0</v>
      </c>
      <c r="G17" s="41">
        <f>E17 * _xlfn.XLOOKUP(A17, Paddy_Data_Upload!A:A, Paddy_Data_Upload!E:E)</f>
        <v>0</v>
      </c>
      <c r="H17" s="40">
        <f>E17 * _xlfn.XLOOKUP(A17, Paddy_Data_Upload!A:A, Paddy_Data_Upload!G:G)</f>
        <v>0</v>
      </c>
      <c r="I17" s="40">
        <f>E17 * _xlfn.XLOOKUP(A17, Paddy_Data_Upload!A:A, Paddy_Data_Upload!H:H)</f>
        <v>0</v>
      </c>
    </row>
    <row r="18" spans="1:9">
      <c r="A18" t="str">
        <v>KR237466</v>
      </c>
      <c r="B18" t="str">
        <f t="shared" si="0"/>
        <v>KOTHURU COLD</v>
      </c>
      <c r="C18" t="str">
        <f>IF(A18&lt;&gt;"",_xlfn.XLOOKUP(A18,Paddy_Data_Upload!A:A,Paddy_Data_Upload!L:L)&amp;"-"&amp;_xlfn.XLOOKUP(A18,Paddy_Data_Upload!A:A,Paddy_Data_Upload!N:N),"")</f>
        <v>CHAMBER-2-A6</v>
      </c>
      <c r="D18">
        <f>IF(A18&lt;&gt;"",_xlfn.XLOOKUP(A18,Paddy_Data_Upload!A:A,Paddy_Data_Upload!C:C),0)</f>
        <v>1017</v>
      </c>
      <c r="E18">
        <f>MIN(D18, MAX(0, $E$1 - SUM($E$7:E17)))</f>
        <v>0</v>
      </c>
      <c r="F18" s="41">
        <f>E18 * _xlfn.XLOOKUP(A18, Paddy_Data_Upload!A:A, Paddy_Data_Upload!D:D)</f>
        <v>0</v>
      </c>
      <c r="G18" s="41">
        <f>E18 * _xlfn.XLOOKUP(A18, Paddy_Data_Upload!A:A, Paddy_Data_Upload!E:E)</f>
        <v>0</v>
      </c>
      <c r="H18" s="40">
        <f>E18 * _xlfn.XLOOKUP(A18, Paddy_Data_Upload!A:A, Paddy_Data_Upload!G:G)</f>
        <v>0</v>
      </c>
      <c r="I18" s="40">
        <f>E18 * _xlfn.XLOOKUP(A18, Paddy_Data_Upload!A:A, Paddy_Data_Upload!H:H)</f>
        <v>0</v>
      </c>
    </row>
    <row r="19" spans="1:9">
      <c r="A19" t="str">
        <v>KR237467</v>
      </c>
      <c r="B19" t="str">
        <f t="shared" si="0"/>
        <v>KOTHURU COLD</v>
      </c>
      <c r="C19" t="str">
        <f>IF(A19&lt;&gt;"",_xlfn.XLOOKUP(A19,Paddy_Data_Upload!A:A,Paddy_Data_Upload!L:L)&amp;"-"&amp;_xlfn.XLOOKUP(A19,Paddy_Data_Upload!A:A,Paddy_Data_Upload!N:N),"")</f>
        <v>CHAMBER-2-A6</v>
      </c>
      <c r="D19">
        <f>IF(A19&lt;&gt;"",_xlfn.XLOOKUP(A19,Paddy_Data_Upload!A:A,Paddy_Data_Upload!C:C),0)</f>
        <v>981</v>
      </c>
      <c r="E19">
        <f>MIN(D19, MAX(0, $E$1 - SUM($E$7:E18)))</f>
        <v>0</v>
      </c>
      <c r="F19" s="41">
        <f>E19 * _xlfn.XLOOKUP(A19, Paddy_Data_Upload!A:A, Paddy_Data_Upload!D:D)</f>
        <v>0</v>
      </c>
      <c r="G19" s="41">
        <f>E19 * _xlfn.XLOOKUP(A19, Paddy_Data_Upload!A:A, Paddy_Data_Upload!E:E)</f>
        <v>0</v>
      </c>
      <c r="H19" s="40">
        <f>E19 * _xlfn.XLOOKUP(A19, Paddy_Data_Upload!A:A, Paddy_Data_Upload!G:G)</f>
        <v>0</v>
      </c>
      <c r="I19" s="40">
        <f>E19 * _xlfn.XLOOKUP(A19, Paddy_Data_Upload!A:A, Paddy_Data_Upload!H:H)</f>
        <v>0</v>
      </c>
    </row>
    <row r="20" spans="1:9">
      <c r="A20" t="str">
        <v>KR237312</v>
      </c>
      <c r="B20" t="str">
        <f t="shared" si="0"/>
        <v>KOTHURU COLD</v>
      </c>
      <c r="C20" t="str">
        <f>IF(A20&lt;&gt;"",_xlfn.XLOOKUP(A20,Paddy_Data_Upload!A:A,Paddy_Data_Upload!L:L)&amp;"-"&amp;_xlfn.XLOOKUP(A20,Paddy_Data_Upload!A:A,Paddy_Data_Upload!N:N),"")</f>
        <v>CHAMBER-2-D1</v>
      </c>
      <c r="D20">
        <f>IF(A20&lt;&gt;"",_xlfn.XLOOKUP(A20,Paddy_Data_Upload!A:A,Paddy_Data_Upload!C:C),0)</f>
        <v>685</v>
      </c>
      <c r="E20">
        <f>MIN(D20, MAX(0, $E$1 - SUM($E$7:E19)))</f>
        <v>0</v>
      </c>
      <c r="F20" s="41">
        <f>E20 * _xlfn.XLOOKUP(A20, Paddy_Data_Upload!A:A, Paddy_Data_Upload!D:D)</f>
        <v>0</v>
      </c>
      <c r="G20" s="41">
        <f>E20 * _xlfn.XLOOKUP(A20, Paddy_Data_Upload!A:A, Paddy_Data_Upload!E:E)</f>
        <v>0</v>
      </c>
      <c r="H20" s="40">
        <f>E20 * _xlfn.XLOOKUP(A20, Paddy_Data_Upload!A:A, Paddy_Data_Upload!G:G)</f>
        <v>0</v>
      </c>
      <c r="I20" s="40">
        <f>E20 * _xlfn.XLOOKUP(A20, Paddy_Data_Upload!A:A, Paddy_Data_Upload!H:H)</f>
        <v>0</v>
      </c>
    </row>
    <row r="21" spans="1:9">
      <c r="A21" t="str">
        <v>KR237313</v>
      </c>
      <c r="B21" t="str">
        <f t="shared" si="0"/>
        <v>KOTHURU COLD</v>
      </c>
      <c r="C21" t="str">
        <f>IF(A21&lt;&gt;"",_xlfn.XLOOKUP(A21,Paddy_Data_Upload!A:A,Paddy_Data_Upload!L:L)&amp;"-"&amp;_xlfn.XLOOKUP(A21,Paddy_Data_Upload!A:A,Paddy_Data_Upload!N:N),"")</f>
        <v>CHAMBER-2-D1</v>
      </c>
      <c r="D21">
        <f>IF(A21&lt;&gt;"",_xlfn.XLOOKUP(A21,Paddy_Data_Upload!A:A,Paddy_Data_Upload!C:C),0)</f>
        <v>2059</v>
      </c>
      <c r="E21">
        <f>MIN(D21, MAX(0, $E$1 - SUM($E$7:E20)))</f>
        <v>0</v>
      </c>
      <c r="F21" s="41">
        <f>E21 * _xlfn.XLOOKUP(A21, Paddy_Data_Upload!A:A, Paddy_Data_Upload!D:D)</f>
        <v>0</v>
      </c>
      <c r="G21" s="41">
        <f>E21 * _xlfn.XLOOKUP(A21, Paddy_Data_Upload!A:A, Paddy_Data_Upload!E:E)</f>
        <v>0</v>
      </c>
      <c r="H21" s="40">
        <f>E21 * _xlfn.XLOOKUP(A21, Paddy_Data_Upload!A:A, Paddy_Data_Upload!G:G)</f>
        <v>0</v>
      </c>
      <c r="I21" s="40">
        <f>E21 * _xlfn.XLOOKUP(A21, Paddy_Data_Upload!A:A, Paddy_Data_Upload!H:H)</f>
        <v>0</v>
      </c>
    </row>
    <row r="22" spans="1:9">
      <c r="A22" t="str">
        <v>KR237314</v>
      </c>
      <c r="B22" t="str">
        <f t="shared" si="0"/>
        <v>KOTHURU COLD</v>
      </c>
      <c r="C22" t="str">
        <f>IF(A22&lt;&gt;"",_xlfn.XLOOKUP(A22,Paddy_Data_Upload!A:A,Paddy_Data_Upload!L:L)&amp;"-"&amp;_xlfn.XLOOKUP(A22,Paddy_Data_Upload!A:A,Paddy_Data_Upload!N:N),"")</f>
        <v>CHAMBER-2-D1</v>
      </c>
      <c r="D22">
        <f>IF(A22&lt;&gt;"",_xlfn.XLOOKUP(A22,Paddy_Data_Upload!A:A,Paddy_Data_Upload!C:C),0)</f>
        <v>1075</v>
      </c>
      <c r="E22">
        <f>MIN(D22, MAX(0, $E$1 - SUM($E$7:E21)))</f>
        <v>0</v>
      </c>
      <c r="F22" s="41">
        <f>E22 * _xlfn.XLOOKUP(A22, Paddy_Data_Upload!A:A, Paddy_Data_Upload!D:D)</f>
        <v>0</v>
      </c>
      <c r="G22" s="41">
        <f>E22 * _xlfn.XLOOKUP(A22, Paddy_Data_Upload!A:A, Paddy_Data_Upload!E:E)</f>
        <v>0</v>
      </c>
      <c r="H22" s="40">
        <f>E22 * _xlfn.XLOOKUP(A22, Paddy_Data_Upload!A:A, Paddy_Data_Upload!G:G)</f>
        <v>0</v>
      </c>
      <c r="I22" s="40">
        <f>E22 * _xlfn.XLOOKUP(A22, Paddy_Data_Upload!A:A, Paddy_Data_Upload!H:H)</f>
        <v>0</v>
      </c>
    </row>
    <row r="23" spans="1:9">
      <c r="A23" t="str">
        <v>KR237315</v>
      </c>
      <c r="B23" t="str">
        <f t="shared" si="0"/>
        <v>KOTHURU COLD</v>
      </c>
      <c r="C23" t="str">
        <f>IF(A23&lt;&gt;"",_xlfn.XLOOKUP(A23,Paddy_Data_Upload!A:A,Paddy_Data_Upload!L:L)&amp;"-"&amp;_xlfn.XLOOKUP(A23,Paddy_Data_Upload!A:A,Paddy_Data_Upload!N:N),"")</f>
        <v>CHAMBER-2-D1</v>
      </c>
      <c r="D23">
        <f>IF(A23&lt;&gt;"",_xlfn.XLOOKUP(A23,Paddy_Data_Upload!A:A,Paddy_Data_Upload!C:C),0)</f>
        <v>1296</v>
      </c>
      <c r="E23">
        <f>MIN(D23, MAX(0, $E$1 - SUM($E$7:E22)))</f>
        <v>0</v>
      </c>
      <c r="F23" s="41">
        <f>E23 * _xlfn.XLOOKUP(A23, Paddy_Data_Upload!A:A, Paddy_Data_Upload!D:D)</f>
        <v>0</v>
      </c>
      <c r="G23" s="41">
        <f>E23 * _xlfn.XLOOKUP(A23, Paddy_Data_Upload!A:A, Paddy_Data_Upload!E:E)</f>
        <v>0</v>
      </c>
      <c r="H23" s="40">
        <f>E23 * _xlfn.XLOOKUP(A23, Paddy_Data_Upload!A:A, Paddy_Data_Upload!G:G)</f>
        <v>0</v>
      </c>
      <c r="I23" s="40">
        <f>E23 * _xlfn.XLOOKUP(A23, Paddy_Data_Upload!A:A, Paddy_Data_Upload!H:H)</f>
        <v>0</v>
      </c>
    </row>
    <row r="24" spans="1:9">
      <c r="A24" t="str">
        <v>KR237324</v>
      </c>
      <c r="B24" t="str">
        <f t="shared" si="0"/>
        <v>KOTHURU COLD</v>
      </c>
      <c r="C24" t="str">
        <f>IF(A24&lt;&gt;"",_xlfn.XLOOKUP(A24,Paddy_Data_Upload!A:A,Paddy_Data_Upload!L:L)&amp;"-"&amp;_xlfn.XLOOKUP(A24,Paddy_Data_Upload!A:A,Paddy_Data_Upload!N:N),"")</f>
        <v>CHAMBER-2-D1</v>
      </c>
      <c r="D24">
        <f>IF(A24&lt;&gt;"",_xlfn.XLOOKUP(A24,Paddy_Data_Upload!A:A,Paddy_Data_Upload!C:C),0)</f>
        <v>643</v>
      </c>
      <c r="E24">
        <f>MIN(D24, MAX(0, $E$1 - SUM($E$7:E23)))</f>
        <v>0</v>
      </c>
      <c r="F24" s="41">
        <f>E24 * _xlfn.XLOOKUP(A24, Paddy_Data_Upload!A:A, Paddy_Data_Upload!D:D)</f>
        <v>0</v>
      </c>
      <c r="G24" s="41">
        <f>E24 * _xlfn.XLOOKUP(A24, Paddy_Data_Upload!A:A, Paddy_Data_Upload!E:E)</f>
        <v>0</v>
      </c>
      <c r="H24" s="40">
        <f>E24 * _xlfn.XLOOKUP(A24, Paddy_Data_Upload!A:A, Paddy_Data_Upload!G:G)</f>
        <v>0</v>
      </c>
      <c r="I24" s="40">
        <f>E24 * _xlfn.XLOOKUP(A24, Paddy_Data_Upload!A:A, Paddy_Data_Upload!H:H)</f>
        <v>0</v>
      </c>
    </row>
    <row r="25" spans="1:9">
      <c r="A25" t="str">
        <v>KR237316</v>
      </c>
      <c r="B25" t="str">
        <f t="shared" si="0"/>
        <v>KOTHURU COLD</v>
      </c>
      <c r="C25" t="str">
        <f>IF(A25&lt;&gt;"",_xlfn.XLOOKUP(A25,Paddy_Data_Upload!A:A,Paddy_Data_Upload!L:L)&amp;"-"&amp;_xlfn.XLOOKUP(A25,Paddy_Data_Upload!A:A,Paddy_Data_Upload!N:N),"")</f>
        <v>CHAMBER-2-D1</v>
      </c>
      <c r="D25">
        <f>IF(A25&lt;&gt;"",_xlfn.XLOOKUP(A25,Paddy_Data_Upload!A:A,Paddy_Data_Upload!C:C),0)</f>
        <v>2163</v>
      </c>
      <c r="E25">
        <f>MIN(D25, MAX(0, $E$1 - SUM($E$7:E24)))</f>
        <v>0</v>
      </c>
      <c r="F25" s="41">
        <f>E25 * _xlfn.XLOOKUP(A25, Paddy_Data_Upload!A:A, Paddy_Data_Upload!D:D)</f>
        <v>0</v>
      </c>
      <c r="G25" s="41">
        <f>E25 * _xlfn.XLOOKUP(A25, Paddy_Data_Upload!A:A, Paddy_Data_Upload!E:E)</f>
        <v>0</v>
      </c>
      <c r="H25" s="40">
        <f>E25 * _xlfn.XLOOKUP(A25, Paddy_Data_Upload!A:A, Paddy_Data_Upload!G:G)</f>
        <v>0</v>
      </c>
      <c r="I25" s="40">
        <f>E25 * _xlfn.XLOOKUP(A25, Paddy_Data_Upload!A:A, Paddy_Data_Upload!H:H)</f>
        <v>0</v>
      </c>
    </row>
    <row r="26" spans="1:9">
      <c r="A26" t="str">
        <v>KR237316M</v>
      </c>
      <c r="B26" t="str">
        <f t="shared" si="0"/>
        <v>KOTHURU COLD</v>
      </c>
      <c r="C26" t="str">
        <f>IF(A26&lt;&gt;"",_xlfn.XLOOKUP(A26,Paddy_Data_Upload!A:A,Paddy_Data_Upload!L:L)&amp;"-"&amp;_xlfn.XLOOKUP(A26,Paddy_Data_Upload!A:A,Paddy_Data_Upload!N:N),"")</f>
        <v>CHAMBER-2-D1</v>
      </c>
      <c r="D26">
        <f>IF(A26&lt;&gt;"",_xlfn.XLOOKUP(A26,Paddy_Data_Upload!A:A,Paddy_Data_Upload!C:C),0)</f>
        <v>36</v>
      </c>
      <c r="E26">
        <f>MIN(D26, MAX(0, $E$1 - SUM($E$7:E25)))</f>
        <v>0</v>
      </c>
      <c r="F26" s="41">
        <f>E26 * _xlfn.XLOOKUP(A26, Paddy_Data_Upload!A:A, Paddy_Data_Upload!D:D)</f>
        <v>0</v>
      </c>
      <c r="G26" s="41">
        <f>E26 * _xlfn.XLOOKUP(A26, Paddy_Data_Upload!A:A, Paddy_Data_Upload!E:E)</f>
        <v>0</v>
      </c>
      <c r="H26" s="40">
        <f>E26 * _xlfn.XLOOKUP(A26, Paddy_Data_Upload!A:A, Paddy_Data_Upload!G:G)</f>
        <v>0</v>
      </c>
      <c r="I26" s="40">
        <f>E26 * _xlfn.XLOOKUP(A26, Paddy_Data_Upload!A:A, Paddy_Data_Upload!H:H)</f>
        <v>0</v>
      </c>
    </row>
    <row r="27" spans="1:9">
      <c r="A27" t="str">
        <v>KR237317</v>
      </c>
      <c r="B27" t="str">
        <f t="shared" si="0"/>
        <v>KOTHURU COLD</v>
      </c>
      <c r="C27" t="str">
        <f>IF(A27&lt;&gt;"",_xlfn.XLOOKUP(A27,Paddy_Data_Upload!A:A,Paddy_Data_Upload!L:L)&amp;"-"&amp;_xlfn.XLOOKUP(A27,Paddy_Data_Upload!A:A,Paddy_Data_Upload!N:N),"")</f>
        <v>CHAMBER-2-D1</v>
      </c>
      <c r="D27">
        <f>IF(A27&lt;&gt;"",_xlfn.XLOOKUP(A27,Paddy_Data_Upload!A:A,Paddy_Data_Upload!C:C),0)</f>
        <v>1802</v>
      </c>
      <c r="E27">
        <f>MIN(D27, MAX(0, $E$1 - SUM($E$7:E26)))</f>
        <v>0</v>
      </c>
      <c r="F27" s="41">
        <f>E27 * _xlfn.XLOOKUP(A27, Paddy_Data_Upload!A:A, Paddy_Data_Upload!D:D)</f>
        <v>0</v>
      </c>
      <c r="G27" s="41">
        <f>E27 * _xlfn.XLOOKUP(A27, Paddy_Data_Upload!A:A, Paddy_Data_Upload!E:E)</f>
        <v>0</v>
      </c>
      <c r="H27" s="40">
        <f>E27 * _xlfn.XLOOKUP(A27, Paddy_Data_Upload!A:A, Paddy_Data_Upload!G:G)</f>
        <v>0</v>
      </c>
      <c r="I27" s="40">
        <f>E27 * _xlfn.XLOOKUP(A27, Paddy_Data_Upload!A:A, Paddy_Data_Upload!H:H)</f>
        <v>0</v>
      </c>
    </row>
    <row r="28" spans="1:9">
      <c r="A28" t="str">
        <v>KR237318</v>
      </c>
      <c r="B28" t="str">
        <f t="shared" si="0"/>
        <v>KOTHURU COLD</v>
      </c>
      <c r="C28" t="str">
        <f>IF(A28&lt;&gt;"",_xlfn.XLOOKUP(A28,Paddy_Data_Upload!A:A,Paddy_Data_Upload!L:L)&amp;"-"&amp;_xlfn.XLOOKUP(A28,Paddy_Data_Upload!A:A,Paddy_Data_Upload!N:N),"")</f>
        <v>CHAMBER-2-D1</v>
      </c>
      <c r="D28">
        <f>IF(A28&lt;&gt;"",_xlfn.XLOOKUP(A28,Paddy_Data_Upload!A:A,Paddy_Data_Upload!C:C),0)</f>
        <v>730</v>
      </c>
      <c r="E28">
        <f>MIN(D28, MAX(0, $E$1 - SUM($E$7:E27)))</f>
        <v>0</v>
      </c>
      <c r="F28" s="41">
        <f>E28 * _xlfn.XLOOKUP(A28, Paddy_Data_Upload!A:A, Paddy_Data_Upload!D:D)</f>
        <v>0</v>
      </c>
      <c r="G28" s="41">
        <f>E28 * _xlfn.XLOOKUP(A28, Paddy_Data_Upload!A:A, Paddy_Data_Upload!E:E)</f>
        <v>0</v>
      </c>
      <c r="H28" s="40">
        <f>E28 * _xlfn.XLOOKUP(A28, Paddy_Data_Upload!A:A, Paddy_Data_Upload!G:G)</f>
        <v>0</v>
      </c>
      <c r="I28" s="40">
        <f>E28 * _xlfn.XLOOKUP(A28, Paddy_Data_Upload!A:A, Paddy_Data_Upload!H:H)</f>
        <v>0</v>
      </c>
    </row>
    <row r="29" spans="1:9">
      <c r="A29" t="str">
        <v>KR237319</v>
      </c>
      <c r="B29" t="str">
        <f t="shared" si="0"/>
        <v>KOTHURU COLD</v>
      </c>
      <c r="C29" t="str">
        <f>IF(A29&lt;&gt;"",_xlfn.XLOOKUP(A29,Paddy_Data_Upload!A:A,Paddy_Data_Upload!L:L)&amp;"-"&amp;_xlfn.XLOOKUP(A29,Paddy_Data_Upload!A:A,Paddy_Data_Upload!N:N),"")</f>
        <v>CHAMBER-2-D1</v>
      </c>
      <c r="D29">
        <f>IF(A29&lt;&gt;"",_xlfn.XLOOKUP(A29,Paddy_Data_Upload!A:A,Paddy_Data_Upload!C:C),0)</f>
        <v>1425</v>
      </c>
      <c r="E29">
        <f>MIN(D29, MAX(0, $E$1 - SUM($E$7:E28)))</f>
        <v>0</v>
      </c>
      <c r="F29" s="41">
        <f>E29 * _xlfn.XLOOKUP(A29, Paddy_Data_Upload!A:A, Paddy_Data_Upload!D:D)</f>
        <v>0</v>
      </c>
      <c r="G29" s="41">
        <f>E29 * _xlfn.XLOOKUP(A29, Paddy_Data_Upload!A:A, Paddy_Data_Upload!E:E)</f>
        <v>0</v>
      </c>
      <c r="H29" s="40">
        <f>E29 * _xlfn.XLOOKUP(A29, Paddy_Data_Upload!A:A, Paddy_Data_Upload!G:G)</f>
        <v>0</v>
      </c>
      <c r="I29" s="40">
        <f>E29 * _xlfn.XLOOKUP(A29, Paddy_Data_Upload!A:A, Paddy_Data_Upload!H:H)</f>
        <v>0</v>
      </c>
    </row>
    <row r="30" spans="1:9">
      <c r="A30" t="str">
        <v>KR237320</v>
      </c>
      <c r="B30" t="str">
        <f t="shared" si="0"/>
        <v>KOTHURU COLD</v>
      </c>
      <c r="C30" t="str">
        <f>IF(A30&lt;&gt;"",_xlfn.XLOOKUP(A30,Paddy_Data_Upload!A:A,Paddy_Data_Upload!L:L)&amp;"-"&amp;_xlfn.XLOOKUP(A30,Paddy_Data_Upload!A:A,Paddy_Data_Upload!N:N),"")</f>
        <v>CHAMBER-2-D1</v>
      </c>
      <c r="D30">
        <f>IF(A30&lt;&gt;"",_xlfn.XLOOKUP(A30,Paddy_Data_Upload!A:A,Paddy_Data_Upload!C:C),0)</f>
        <v>646</v>
      </c>
      <c r="E30">
        <f>MIN(D30, MAX(0, $E$1 - SUM($E$7:E29)))</f>
        <v>0</v>
      </c>
      <c r="F30" s="41">
        <f>E30 * _xlfn.XLOOKUP(A30, Paddy_Data_Upload!A:A, Paddy_Data_Upload!D:D)</f>
        <v>0</v>
      </c>
      <c r="G30" s="41">
        <f>E30 * _xlfn.XLOOKUP(A30, Paddy_Data_Upload!A:A, Paddy_Data_Upload!E:E)</f>
        <v>0</v>
      </c>
      <c r="H30" s="40">
        <f>E30 * _xlfn.XLOOKUP(A30, Paddy_Data_Upload!A:A, Paddy_Data_Upload!G:G)</f>
        <v>0</v>
      </c>
      <c r="I30" s="40">
        <f>E30 * _xlfn.XLOOKUP(A30, Paddy_Data_Upload!A:A, Paddy_Data_Upload!H:H)</f>
        <v>0</v>
      </c>
    </row>
    <row r="31" spans="1:9">
      <c r="A31" t="str">
        <v>KR237322</v>
      </c>
      <c r="B31" t="str">
        <f t="shared" si="0"/>
        <v>KOTHURU COLD</v>
      </c>
      <c r="C31" t="str">
        <f>IF(A31&lt;&gt;"",_xlfn.XLOOKUP(A31,Paddy_Data_Upload!A:A,Paddy_Data_Upload!L:L)&amp;"-"&amp;_xlfn.XLOOKUP(A31,Paddy_Data_Upload!A:A,Paddy_Data_Upload!N:N),"")</f>
        <v>CHAMBER-2-D1</v>
      </c>
      <c r="D31">
        <f>IF(A31&lt;&gt;"",_xlfn.XLOOKUP(A31,Paddy_Data_Upload!A:A,Paddy_Data_Upload!C:C),0)</f>
        <v>739</v>
      </c>
      <c r="E31">
        <f>MIN(D31, MAX(0, $E$1 - SUM($E$7:E30)))</f>
        <v>0</v>
      </c>
      <c r="F31" s="41">
        <f>E31 * _xlfn.XLOOKUP(A31, Paddy_Data_Upload!A:A, Paddy_Data_Upload!D:D)</f>
        <v>0</v>
      </c>
      <c r="G31" s="41">
        <f>E31 * _xlfn.XLOOKUP(A31, Paddy_Data_Upload!A:A, Paddy_Data_Upload!E:E)</f>
        <v>0</v>
      </c>
      <c r="H31" s="40">
        <f>E31 * _xlfn.XLOOKUP(A31, Paddy_Data_Upload!A:A, Paddy_Data_Upload!G:G)</f>
        <v>0</v>
      </c>
      <c r="I31" s="40">
        <f>E31 * _xlfn.XLOOKUP(A31, Paddy_Data_Upload!A:A, Paddy_Data_Upload!H:H)</f>
        <v>0</v>
      </c>
    </row>
    <row r="32" spans="1:9">
      <c r="A32" t="str">
        <v>KR237311</v>
      </c>
      <c r="B32" t="str">
        <f t="shared" si="0"/>
        <v>KOTHURU COLD</v>
      </c>
      <c r="C32" t="str">
        <f>IF(A32&lt;&gt;"",_xlfn.XLOOKUP(A32,Paddy_Data_Upload!A:A,Paddy_Data_Upload!L:L)&amp;"-"&amp;_xlfn.XLOOKUP(A32,Paddy_Data_Upload!A:A,Paddy_Data_Upload!N:N),"")</f>
        <v>CHAMBER-2-D1</v>
      </c>
      <c r="D32">
        <f>IF(A32&lt;&gt;"",_xlfn.XLOOKUP(A32,Paddy_Data_Upload!A:A,Paddy_Data_Upload!C:C),0)</f>
        <v>1250</v>
      </c>
      <c r="E32">
        <f>MIN(D32, MAX(0, $E$1 - SUM($E$7:E31)))</f>
        <v>0</v>
      </c>
      <c r="F32" s="41">
        <f>E32 * _xlfn.XLOOKUP(A32, Paddy_Data_Upload!A:A, Paddy_Data_Upload!D:D)</f>
        <v>0</v>
      </c>
      <c r="G32" s="41">
        <f>E32 * _xlfn.XLOOKUP(A32, Paddy_Data_Upload!A:A, Paddy_Data_Upload!E:E)</f>
        <v>0</v>
      </c>
      <c r="H32" s="40">
        <f>E32 * _xlfn.XLOOKUP(A32, Paddy_Data_Upload!A:A, Paddy_Data_Upload!G:G)</f>
        <v>0</v>
      </c>
      <c r="I32" s="40">
        <f>E32 * _xlfn.XLOOKUP(A32, Paddy_Data_Upload!A:A, Paddy_Data_Upload!H:H)</f>
        <v>0</v>
      </c>
    </row>
    <row r="33" spans="6:11">
      <c r="F33" s="41"/>
      <c r="G33" s="41"/>
      <c r="H33" s="40"/>
      <c r="I33" s="40"/>
      <c r="K33" t="str">
        <f>IF(A33="","",IF(AND(F33&gt;=Paddy_Settings!$C$2,I33&gt;=Paddy_Settings!$C$3,H33&lt;=1.5%),"Priority 1",IF(AND(F33&gt;=Paddy_Settings!$C$2,I33&gt;=Paddy_Settings!$C$3,H33&lt;=3%),"Priority 2","Flagged/Reject")))</f>
        <v/>
      </c>
    </row>
    <row r="34" spans="6:11">
      <c r="F34" s="41"/>
      <c r="G34" s="41"/>
      <c r="H34" s="40"/>
      <c r="I34" s="40"/>
      <c r="K34" t="str">
        <f>IF(A34="","",IF(AND(F34&gt;=Paddy_Settings!$C$2,I34&gt;=Paddy_Settings!$C$3,H34&lt;=1.5%),"Priority 1",IF(AND(F34&gt;=Paddy_Settings!$C$2,I34&gt;=Paddy_Settings!$C$3,H34&lt;=3%),"Priority 2","Flagged/Reject")))</f>
        <v/>
      </c>
    </row>
    <row r="35" spans="6:11">
      <c r="F35" s="41"/>
      <c r="G35" s="41"/>
      <c r="H35" s="40"/>
      <c r="I35" s="40"/>
      <c r="K35" t="str">
        <f>IF(A35="","",IF(AND(F35&gt;=Paddy_Settings!$C$2,I35&gt;=Paddy_Settings!$C$3,H35&lt;=1.5%),"Priority 1",IF(AND(F35&gt;=Paddy_Settings!$C$2,I35&gt;=Paddy_Settings!$C$3,H35&lt;=3%),"Priority 2","Flagged/Reject")))</f>
        <v/>
      </c>
    </row>
    <row r="36" spans="6:11">
      <c r="F36" s="41"/>
      <c r="G36" s="41"/>
      <c r="H36" s="40"/>
      <c r="I36" s="40"/>
    </row>
    <row r="37" spans="6:11">
      <c r="F37" s="41"/>
      <c r="G37" s="41"/>
      <c r="H37" s="40"/>
      <c r="I37" s="40"/>
    </row>
    <row r="38" spans="6:11">
      <c r="F38" s="41"/>
      <c r="G38" s="41"/>
      <c r="H38" s="40"/>
      <c r="I38" s="40"/>
    </row>
    <row r="39" spans="6:11">
      <c r="F39" s="41"/>
      <c r="G39" s="41"/>
      <c r="H39" s="40"/>
      <c r="I39" s="40"/>
    </row>
    <row r="40" spans="6:11">
      <c r="F40" s="41"/>
      <c r="G40" s="41"/>
      <c r="H40" s="40"/>
      <c r="I40" s="40"/>
    </row>
    <row r="41" spans="6:11">
      <c r="F41" s="41"/>
      <c r="G41" s="41"/>
      <c r="H41" s="40"/>
      <c r="I41" s="40"/>
    </row>
    <row r="42" spans="6:11">
      <c r="F42" s="41"/>
      <c r="G42" s="41"/>
      <c r="H42" s="40"/>
      <c r="I42" s="40"/>
    </row>
    <row r="43" spans="6:11">
      <c r="F43" s="41"/>
      <c r="G43" s="41"/>
      <c r="H43" s="40"/>
      <c r="I43" s="40"/>
    </row>
    <row r="44" spans="6:11">
      <c r="F44" s="41"/>
      <c r="G44" s="41"/>
      <c r="H44" s="40"/>
      <c r="I44" s="40"/>
    </row>
    <row r="45" spans="6:11">
      <c r="F45" s="41"/>
      <c r="G45" s="41"/>
      <c r="H45" s="40"/>
      <c r="I45" s="40"/>
    </row>
    <row r="46" spans="6:11">
      <c r="F46" s="41"/>
      <c r="G46" s="41"/>
      <c r="H46" s="40"/>
      <c r="I46" s="40"/>
    </row>
    <row r="47" spans="6:11">
      <c r="F47" s="41"/>
      <c r="G47" s="41"/>
      <c r="H47" s="40"/>
      <c r="I47" s="40"/>
    </row>
    <row r="48" spans="6:11">
      <c r="F48" s="41"/>
      <c r="G48" s="41"/>
      <c r="H48" s="40"/>
      <c r="I48" s="40"/>
    </row>
    <row r="49" spans="6:9">
      <c r="F49" s="41"/>
      <c r="G49" s="41"/>
      <c r="H49" s="40"/>
      <c r="I49" s="40"/>
    </row>
    <row r="50" spans="6:9">
      <c r="F50" s="41"/>
      <c r="G50" s="41"/>
      <c r="H50" s="40"/>
      <c r="I50" s="40"/>
    </row>
    <row r="51" spans="6:9">
      <c r="F51" s="41"/>
      <c r="G51" s="41"/>
      <c r="H51" s="40"/>
      <c r="I51" s="40"/>
    </row>
    <row r="52" spans="6:9">
      <c r="F52" s="41"/>
      <c r="G52" s="41"/>
      <c r="H52" s="40"/>
      <c r="I52" s="40"/>
    </row>
    <row r="53" spans="6:9">
      <c r="F53" s="41"/>
      <c r="G53" s="41"/>
      <c r="H53" s="40"/>
      <c r="I53" s="40"/>
    </row>
    <row r="54" spans="6:9">
      <c r="F54" s="41"/>
      <c r="G54" s="41"/>
      <c r="H54" s="40"/>
      <c r="I54" s="40"/>
    </row>
    <row r="55" spans="6:9">
      <c r="F55" s="41"/>
      <c r="G55" s="41"/>
      <c r="H55" s="40"/>
      <c r="I55" s="40"/>
    </row>
    <row r="56" spans="6:9">
      <c r="F56" s="41"/>
      <c r="G56" s="41"/>
      <c r="H56" s="40"/>
      <c r="I56" s="40"/>
    </row>
    <row r="57" spans="6:9">
      <c r="F57" s="41"/>
      <c r="G57" s="41"/>
      <c r="H57" s="40"/>
      <c r="I57" s="40"/>
    </row>
    <row r="58" spans="6:9">
      <c r="F58" s="41"/>
      <c r="G58" s="41"/>
      <c r="H58" s="40"/>
      <c r="I58" s="40"/>
    </row>
    <row r="59" spans="6:9">
      <c r="F59" s="41"/>
      <c r="G59" s="41"/>
      <c r="H59" s="40"/>
      <c r="I59" s="40"/>
    </row>
    <row r="60" spans="6:9">
      <c r="F60" s="41"/>
      <c r="G60" s="41"/>
      <c r="H60" s="40"/>
      <c r="I60" s="40"/>
    </row>
    <row r="61" spans="6:9">
      <c r="F61" s="41"/>
      <c r="G61" s="41"/>
      <c r="H61" s="40"/>
      <c r="I61" s="40"/>
    </row>
    <row r="62" spans="6:9">
      <c r="F62" s="41"/>
      <c r="G62" s="41"/>
      <c r="H62" s="40"/>
      <c r="I62" s="40"/>
    </row>
    <row r="63" spans="6:9">
      <c r="F63" s="41"/>
      <c r="G63" s="41"/>
      <c r="H63" s="40"/>
      <c r="I63" s="40"/>
    </row>
    <row r="64" spans="6:9">
      <c r="F64" s="41"/>
      <c r="G64" s="41"/>
      <c r="H64" s="40"/>
      <c r="I64" s="40"/>
    </row>
    <row r="65" spans="6:9">
      <c r="F65" s="41"/>
      <c r="G65" s="41"/>
      <c r="H65" s="40"/>
      <c r="I65" s="40"/>
    </row>
    <row r="66" spans="6:9">
      <c r="F66" s="41"/>
      <c r="G66" s="41"/>
      <c r="H66" s="40"/>
      <c r="I66" s="40"/>
    </row>
    <row r="67" spans="6:9">
      <c r="F67" s="41"/>
      <c r="G67" s="41"/>
      <c r="H67" s="40"/>
      <c r="I67" s="40"/>
    </row>
    <row r="68" spans="6:9">
      <c r="F68" s="41"/>
      <c r="G68" s="41"/>
      <c r="H68" s="40"/>
      <c r="I68" s="40"/>
    </row>
    <row r="69" spans="6:9">
      <c r="F69" s="41"/>
      <c r="G69" s="41"/>
      <c r="H69" s="40"/>
      <c r="I69" s="40"/>
    </row>
    <row r="70" spans="6:9">
      <c r="F70" s="41"/>
      <c r="G70" s="41"/>
      <c r="H70" s="40"/>
      <c r="I70" s="40"/>
    </row>
    <row r="71" spans="6:9">
      <c r="F71" s="41"/>
      <c r="G71" s="41"/>
      <c r="H71" s="40"/>
      <c r="I71" s="40"/>
    </row>
    <row r="72" spans="6:9">
      <c r="F72" s="41"/>
      <c r="G72" s="41"/>
      <c r="H72" s="40"/>
      <c r="I72" s="40"/>
    </row>
    <row r="73" spans="6:9">
      <c r="F73" s="41"/>
      <c r="G73" s="41"/>
      <c r="H73" s="40"/>
      <c r="I73" s="40"/>
    </row>
    <row r="74" spans="6:9">
      <c r="F74" s="41"/>
      <c r="G74" s="41"/>
      <c r="H74" s="40"/>
      <c r="I74" s="40"/>
    </row>
    <row r="75" spans="6:9">
      <c r="F75" s="41"/>
      <c r="G75" s="41"/>
      <c r="H75" s="40"/>
      <c r="I75" s="40"/>
    </row>
    <row r="76" spans="6:9">
      <c r="F76" s="41"/>
      <c r="G76" s="41"/>
      <c r="H76" s="40"/>
      <c r="I76" s="40"/>
    </row>
    <row r="77" spans="6:9">
      <c r="F77" s="41"/>
      <c r="G77" s="41"/>
      <c r="H77" s="40"/>
      <c r="I77" s="40"/>
    </row>
    <row r="78" spans="6:9">
      <c r="F78" s="41"/>
      <c r="G78" s="41"/>
      <c r="H78" s="40"/>
      <c r="I78" s="40"/>
    </row>
    <row r="79" spans="6:9">
      <c r="F79" s="41"/>
      <c r="G79" s="41"/>
      <c r="H79" s="40"/>
      <c r="I79" s="40"/>
    </row>
    <row r="80" spans="6:9">
      <c r="F80" s="41"/>
      <c r="G80" s="41"/>
      <c r="H80" s="40"/>
      <c r="I80" s="40"/>
    </row>
    <row r="81" spans="6:9">
      <c r="F81" s="41"/>
      <c r="G81" s="41"/>
      <c r="H81" s="40"/>
      <c r="I81" s="40"/>
    </row>
    <row r="82" spans="6:9">
      <c r="F82" s="41"/>
      <c r="G82" s="41"/>
      <c r="H82" s="40"/>
      <c r="I82" s="40"/>
    </row>
    <row r="83" spans="6:9">
      <c r="F83" s="41"/>
      <c r="G83" s="41"/>
      <c r="H83" s="40"/>
      <c r="I83" s="40"/>
    </row>
    <row r="84" spans="6:9">
      <c r="F84" s="41"/>
      <c r="G84" s="41"/>
      <c r="H84" s="40"/>
      <c r="I84" s="40"/>
    </row>
    <row r="85" spans="6:9">
      <c r="F85" s="41"/>
      <c r="G85" s="41"/>
      <c r="H85" s="40"/>
      <c r="I85" s="40"/>
    </row>
    <row r="86" spans="6:9">
      <c r="F86" s="41"/>
      <c r="G86" s="41"/>
      <c r="H86" s="40"/>
      <c r="I86" s="40"/>
    </row>
    <row r="87" spans="6:9">
      <c r="F87" s="41"/>
      <c r="G87" s="41"/>
      <c r="H87" s="40"/>
      <c r="I87" s="40"/>
    </row>
    <row r="88" spans="6:9">
      <c r="F88" s="41"/>
      <c r="G88" s="41"/>
      <c r="H88" s="40"/>
      <c r="I88" s="40"/>
    </row>
    <row r="89" spans="6:9">
      <c r="F89" s="41"/>
      <c r="G89" s="41"/>
      <c r="H89" s="40"/>
      <c r="I89" s="40"/>
    </row>
    <row r="90" spans="6:9">
      <c r="F90" s="41"/>
      <c r="G90" s="41"/>
      <c r="H90" s="40"/>
      <c r="I90" s="40"/>
    </row>
    <row r="91" spans="6:9">
      <c r="F91" s="41"/>
      <c r="G91" s="41"/>
      <c r="H91" s="40"/>
      <c r="I91" s="40"/>
    </row>
    <row r="92" spans="6:9">
      <c r="F92" s="41"/>
      <c r="G92" s="41"/>
      <c r="H92" s="40"/>
      <c r="I92" s="40"/>
    </row>
    <row r="93" spans="6:9">
      <c r="F93" s="41"/>
      <c r="G93" s="41"/>
      <c r="H93" s="40"/>
      <c r="I93" s="40"/>
    </row>
    <row r="94" spans="6:9">
      <c r="F94" s="41"/>
      <c r="G94" s="41"/>
      <c r="H94" s="40"/>
      <c r="I94" s="40"/>
    </row>
    <row r="95" spans="6:9">
      <c r="F95" s="41"/>
      <c r="G95" s="41"/>
      <c r="H95" s="40"/>
      <c r="I95" s="40"/>
    </row>
    <row r="96" spans="6:9">
      <c r="F96" s="41"/>
      <c r="G96" s="41"/>
      <c r="H96" s="40"/>
      <c r="I96" s="40"/>
    </row>
    <row r="97" spans="6:9">
      <c r="F97" s="41"/>
      <c r="G97" s="41"/>
      <c r="H97" s="40"/>
      <c r="I97" s="40"/>
    </row>
    <row r="98" spans="6:9">
      <c r="F98" s="41"/>
      <c r="G98" s="41"/>
      <c r="H98" s="40"/>
      <c r="I98" s="40"/>
    </row>
    <row r="99" spans="6:9">
      <c r="F99" s="41"/>
      <c r="G99" s="41"/>
      <c r="H99" s="40"/>
      <c r="I99" s="40"/>
    </row>
    <row r="100" spans="6:9">
      <c r="F100" s="41"/>
      <c r="G100" s="41"/>
      <c r="H100" s="40"/>
      <c r="I100" s="40"/>
    </row>
    <row r="101" spans="6:9">
      <c r="F101" s="41"/>
      <c r="G101" s="41"/>
      <c r="H101" s="40"/>
      <c r="I101" s="40"/>
    </row>
    <row r="102" spans="6:9">
      <c r="F102" s="41"/>
      <c r="G102" s="41"/>
      <c r="H102" s="40"/>
      <c r="I102" s="40"/>
    </row>
    <row r="103" spans="6:9">
      <c r="F103" s="41"/>
      <c r="G103" s="41"/>
      <c r="H103" s="40"/>
      <c r="I103" s="40"/>
    </row>
    <row r="104" spans="6:9">
      <c r="F104" s="41"/>
      <c r="G104" s="41"/>
      <c r="H104" s="40"/>
      <c r="I104" s="40"/>
    </row>
    <row r="105" spans="6:9">
      <c r="F105" s="41"/>
      <c r="G105" s="41"/>
      <c r="H105" s="40"/>
      <c r="I105" s="40"/>
    </row>
    <row r="106" spans="6:9">
      <c r="F106" s="41"/>
      <c r="G106" s="41"/>
      <c r="H106" s="40"/>
      <c r="I106" s="40"/>
    </row>
    <row r="107" spans="6:9">
      <c r="F107" s="41"/>
      <c r="G107" s="41"/>
      <c r="H107" s="40"/>
      <c r="I107" s="40"/>
    </row>
    <row r="108" spans="6:9">
      <c r="F108" s="41"/>
      <c r="G108" s="41"/>
      <c r="H108" s="40"/>
      <c r="I108" s="40"/>
    </row>
    <row r="109" spans="6:9">
      <c r="F109" s="41"/>
      <c r="G109" s="41"/>
      <c r="H109" s="40"/>
      <c r="I109" s="40"/>
    </row>
    <row r="110" spans="6:9">
      <c r="F110" s="41"/>
      <c r="G110" s="41"/>
      <c r="H110" s="40"/>
      <c r="I110" s="40"/>
    </row>
    <row r="111" spans="6:9">
      <c r="F111" s="41"/>
      <c r="G111" s="41"/>
      <c r="H111" s="40"/>
      <c r="I111" s="40"/>
    </row>
    <row r="112" spans="6:9">
      <c r="F112" s="41"/>
      <c r="G112" s="41"/>
      <c r="H112" s="40"/>
      <c r="I112" s="40"/>
    </row>
    <row r="113" spans="6:9">
      <c r="F113" s="41"/>
      <c r="G113" s="41"/>
      <c r="H113" s="40"/>
      <c r="I113" s="40"/>
    </row>
    <row r="114" spans="6:9">
      <c r="F114" s="41"/>
      <c r="G114" s="41"/>
      <c r="H114" s="40"/>
      <c r="I114" s="40"/>
    </row>
    <row r="115" spans="6:9">
      <c r="F115" s="41"/>
      <c r="G115" s="41"/>
      <c r="H115" s="40"/>
      <c r="I115" s="40"/>
    </row>
    <row r="116" spans="6:9">
      <c r="F116" s="41"/>
      <c r="G116" s="41"/>
      <c r="H116" s="40"/>
      <c r="I116" s="40"/>
    </row>
    <row r="117" spans="6:9">
      <c r="F117" s="41"/>
      <c r="G117" s="41"/>
      <c r="H117" s="40"/>
      <c r="I117" s="40"/>
    </row>
    <row r="118" spans="6:9">
      <c r="F118" s="41"/>
      <c r="G118" s="41"/>
      <c r="H118" s="40"/>
      <c r="I118" s="40"/>
    </row>
    <row r="119" spans="6:9">
      <c r="F119" s="41"/>
      <c r="G119" s="41"/>
      <c r="H119" s="40"/>
      <c r="I119" s="40"/>
    </row>
    <row r="120" spans="6:9">
      <c r="F120" s="41"/>
      <c r="G120" s="41"/>
      <c r="H120" s="40"/>
      <c r="I120" s="40"/>
    </row>
    <row r="121" spans="6:9">
      <c r="F121" s="41"/>
      <c r="G121" s="41"/>
      <c r="H121" s="40"/>
      <c r="I121" s="40"/>
    </row>
    <row r="122" spans="6:9">
      <c r="F122" s="41"/>
      <c r="G122" s="41"/>
      <c r="H122" s="40"/>
      <c r="I122" s="40"/>
    </row>
    <row r="123" spans="6:9">
      <c r="F123" s="41"/>
      <c r="G123" s="41"/>
      <c r="H123" s="40"/>
      <c r="I123" s="40"/>
    </row>
    <row r="124" spans="6:9">
      <c r="F124" s="41"/>
      <c r="G124" s="41"/>
      <c r="H124" s="40"/>
      <c r="I124" s="40"/>
    </row>
    <row r="125" spans="6:9">
      <c r="F125" s="41"/>
      <c r="G125" s="41"/>
      <c r="H125" s="40"/>
      <c r="I125" s="40"/>
    </row>
    <row r="126" spans="6:9">
      <c r="F126" s="41"/>
      <c r="G126" s="41"/>
      <c r="H126" s="40"/>
      <c r="I126" s="40"/>
    </row>
    <row r="127" spans="6:9">
      <c r="F127" s="41"/>
      <c r="G127" s="41"/>
      <c r="H127" s="40"/>
      <c r="I127" s="40"/>
    </row>
    <row r="128" spans="6:9">
      <c r="F128" s="41"/>
      <c r="G128" s="41"/>
      <c r="H128" s="40"/>
      <c r="I128" s="40"/>
    </row>
    <row r="129" spans="6:9">
      <c r="F129" s="41"/>
      <c r="G129" s="41"/>
      <c r="H129" s="40"/>
      <c r="I129" s="40"/>
    </row>
    <row r="130" spans="6:9">
      <c r="F130" s="41"/>
      <c r="G130" s="41"/>
      <c r="H130" s="40"/>
      <c r="I130" s="40"/>
    </row>
    <row r="131" spans="6:9">
      <c r="F131" s="41"/>
      <c r="G131" s="41"/>
      <c r="H131" s="40"/>
      <c r="I131" s="40"/>
    </row>
    <row r="132" spans="6:9">
      <c r="F132" s="41"/>
      <c r="G132" s="41"/>
      <c r="H132" s="40"/>
      <c r="I132" s="40"/>
    </row>
    <row r="133" spans="6:9">
      <c r="F133" s="41"/>
      <c r="G133" s="41"/>
      <c r="H133" s="40"/>
      <c r="I133" s="40"/>
    </row>
    <row r="134" spans="6:9">
      <c r="F134" s="41"/>
      <c r="G134" s="41"/>
      <c r="H134" s="40"/>
      <c r="I134" s="40"/>
    </row>
    <row r="135" spans="6:9">
      <c r="F135" s="41"/>
      <c r="G135" s="41"/>
      <c r="H135" s="40"/>
      <c r="I135" s="40"/>
    </row>
    <row r="136" spans="6:9">
      <c r="F136" s="41"/>
      <c r="G136" s="41"/>
      <c r="H136" s="40"/>
      <c r="I136" s="40"/>
    </row>
    <row r="137" spans="6:9">
      <c r="F137" s="41"/>
      <c r="G137" s="41"/>
      <c r="H137" s="40"/>
      <c r="I137" s="40"/>
    </row>
    <row r="138" spans="6:9">
      <c r="F138" s="41"/>
      <c r="G138" s="41"/>
      <c r="H138" s="40"/>
      <c r="I138" s="40"/>
    </row>
    <row r="139" spans="6:9">
      <c r="F139" s="41"/>
      <c r="G139" s="41"/>
      <c r="H139" s="40"/>
      <c r="I139" s="40"/>
    </row>
    <row r="140" spans="6:9">
      <c r="F140" s="41"/>
      <c r="G140" s="41"/>
      <c r="H140" s="40"/>
      <c r="I140" s="40"/>
    </row>
    <row r="141" spans="6:9">
      <c r="F141" s="41"/>
      <c r="G141" s="41"/>
      <c r="H141" s="40"/>
      <c r="I141" s="40"/>
    </row>
    <row r="142" spans="6:9">
      <c r="F142" s="41"/>
      <c r="G142" s="41"/>
      <c r="H142" s="40"/>
      <c r="I142" s="40"/>
    </row>
    <row r="143" spans="6:9">
      <c r="F143" s="41"/>
      <c r="G143" s="41"/>
      <c r="H143" s="40"/>
      <c r="I143" s="40"/>
    </row>
    <row r="144" spans="6:9">
      <c r="F144" s="41"/>
      <c r="G144" s="41"/>
      <c r="H144" s="40"/>
      <c r="I144" s="40"/>
    </row>
    <row r="145" spans="6:9">
      <c r="F145" s="41"/>
      <c r="G145" s="41"/>
      <c r="H145" s="40"/>
      <c r="I145" s="40"/>
    </row>
    <row r="146" spans="6:9">
      <c r="F146" s="41"/>
      <c r="G146" s="41"/>
      <c r="H146" s="40"/>
      <c r="I146" s="40"/>
    </row>
    <row r="147" spans="6:9">
      <c r="F147" s="41"/>
      <c r="G147" s="41"/>
      <c r="H147" s="40"/>
      <c r="I147" s="40"/>
    </row>
    <row r="148" spans="6:9">
      <c r="F148" s="41"/>
      <c r="G148" s="41"/>
      <c r="H148" s="40"/>
      <c r="I148" s="40"/>
    </row>
    <row r="149" spans="6:9">
      <c r="F149" s="41"/>
      <c r="G149" s="40"/>
      <c r="H149" s="40"/>
      <c r="I149" s="40"/>
    </row>
    <row r="150" spans="6:9">
      <c r="F150" s="41"/>
      <c r="G150" s="40"/>
      <c r="H150" s="40"/>
      <c r="I150" s="40"/>
    </row>
    <row r="151" spans="6:9">
      <c r="F151" s="41"/>
      <c r="G151" s="40"/>
      <c r="H151" s="40"/>
      <c r="I151" s="40"/>
    </row>
    <row r="152" spans="6:9">
      <c r="F152" s="41"/>
      <c r="G152" s="40"/>
      <c r="H152" s="40"/>
      <c r="I152" s="40"/>
    </row>
    <row r="153" spans="6:9">
      <c r="F153" s="41"/>
      <c r="G153" s="40"/>
      <c r="H153" s="40"/>
      <c r="I153" s="40"/>
    </row>
    <row r="154" spans="6:9">
      <c r="F154" s="41"/>
      <c r="G154" s="40"/>
      <c r="H154" s="40"/>
      <c r="I154" s="40"/>
    </row>
    <row r="155" spans="6:9">
      <c r="F155" s="41"/>
      <c r="G155" s="40"/>
      <c r="H155" s="40"/>
      <c r="I155" s="40"/>
    </row>
    <row r="156" spans="6:9">
      <c r="F156" s="41"/>
      <c r="G156" s="40"/>
      <c r="H156" s="40"/>
      <c r="I156" s="40"/>
    </row>
    <row r="157" spans="6:9">
      <c r="F157" s="41"/>
      <c r="G157" s="40"/>
      <c r="H157" s="40"/>
      <c r="I157" s="40"/>
    </row>
    <row r="158" spans="6:9">
      <c r="F158" s="41"/>
      <c r="G158" s="40"/>
      <c r="H158" s="40"/>
      <c r="I158" s="40"/>
    </row>
    <row r="159" spans="6:9">
      <c r="F159" s="41"/>
      <c r="G159" s="40"/>
      <c r="H159" s="40"/>
      <c r="I159" s="40"/>
    </row>
    <row r="160" spans="6:9">
      <c r="F160" s="41"/>
      <c r="G160" s="40"/>
      <c r="H160" s="40"/>
      <c r="I160" s="40"/>
    </row>
    <row r="161" spans="6:9">
      <c r="F161" s="41"/>
      <c r="G161" s="40"/>
      <c r="H161" s="40"/>
      <c r="I161" s="40"/>
    </row>
    <row r="162" spans="6:9">
      <c r="F162" s="41"/>
      <c r="G162" s="40"/>
      <c r="H162" s="40"/>
      <c r="I162" s="40"/>
    </row>
    <row r="163" spans="6:9">
      <c r="F163" s="41"/>
      <c r="G163" s="40"/>
      <c r="H163" s="40"/>
      <c r="I163" s="40"/>
    </row>
    <row r="164" spans="6:9">
      <c r="F164" s="41"/>
      <c r="G164" s="40"/>
      <c r="H164" s="40"/>
      <c r="I164" s="40"/>
    </row>
    <row r="165" spans="6:9">
      <c r="F165" s="41"/>
      <c r="G165" s="40"/>
      <c r="H165" s="40"/>
      <c r="I165" s="40"/>
    </row>
    <row r="166" spans="6:9">
      <c r="F166" s="41"/>
      <c r="G166" s="40"/>
      <c r="H166" s="40"/>
      <c r="I166" s="40"/>
    </row>
    <row r="167" spans="6:9">
      <c r="F167" s="41"/>
      <c r="G167" s="40"/>
      <c r="H167" s="40"/>
      <c r="I167" s="40"/>
    </row>
    <row r="168" spans="6:9">
      <c r="F168" s="41"/>
      <c r="G168" s="40"/>
      <c r="H168" s="40"/>
      <c r="I168" s="40"/>
    </row>
    <row r="169" spans="6:9">
      <c r="F169" s="41"/>
      <c r="G169" s="40"/>
      <c r="H169" s="40"/>
      <c r="I169" s="40"/>
    </row>
    <row r="170" spans="6:9">
      <c r="F170" s="41"/>
      <c r="G170" s="40"/>
      <c r="H170" s="40"/>
      <c r="I170" s="40"/>
    </row>
    <row r="171" spans="6:9">
      <c r="F171" s="41"/>
      <c r="G171" s="40"/>
      <c r="H171" s="40"/>
      <c r="I171" s="40"/>
    </row>
    <row r="172" spans="6:9">
      <c r="F172" s="41"/>
      <c r="G172" s="40"/>
      <c r="H172" s="40"/>
      <c r="I172" s="40"/>
    </row>
    <row r="173" spans="6:9">
      <c r="F173" s="41"/>
      <c r="G173" s="40"/>
      <c r="H173" s="40"/>
      <c r="I173" s="40"/>
    </row>
    <row r="174" spans="6:9">
      <c r="F174" s="41"/>
      <c r="G174" s="40"/>
      <c r="H174" s="40"/>
      <c r="I174" s="40"/>
    </row>
    <row r="175" spans="6:9">
      <c r="F175" s="41"/>
      <c r="G175" s="40"/>
      <c r="H175" s="40"/>
      <c r="I175" s="40"/>
    </row>
    <row r="176" spans="6:9">
      <c r="F176" s="41"/>
      <c r="G176" s="40"/>
      <c r="H176" s="40"/>
      <c r="I176" s="40"/>
    </row>
    <row r="177" spans="6:9">
      <c r="F177" s="41"/>
      <c r="G177" s="40"/>
      <c r="H177" s="40"/>
      <c r="I177" s="40"/>
    </row>
    <row r="178" spans="6:9">
      <c r="F178" s="41"/>
      <c r="G178" s="40"/>
      <c r="H178" s="40"/>
      <c r="I178" s="40"/>
    </row>
    <row r="179" spans="6:9">
      <c r="F179" s="41"/>
      <c r="G179" s="40"/>
      <c r="H179" s="40"/>
      <c r="I179" s="40"/>
    </row>
    <row r="180" spans="6:9">
      <c r="F180" s="41"/>
      <c r="G180" s="40"/>
      <c r="H180" s="40"/>
      <c r="I180" s="40"/>
    </row>
    <row r="181" spans="6:9">
      <c r="F181" s="41"/>
      <c r="G181" s="40"/>
      <c r="H181" s="40"/>
      <c r="I181" s="40"/>
    </row>
    <row r="182" spans="6:9">
      <c r="F182" s="41"/>
      <c r="G182" s="40"/>
      <c r="H182" s="40"/>
      <c r="I182" s="40"/>
    </row>
    <row r="183" spans="6:9">
      <c r="F183" s="41"/>
      <c r="G183" s="40"/>
      <c r="H183" s="40"/>
      <c r="I183" s="40"/>
    </row>
    <row r="184" spans="6:9">
      <c r="F184" s="41"/>
      <c r="G184" s="40"/>
      <c r="H184" s="40"/>
      <c r="I184" s="40"/>
    </row>
    <row r="185" spans="6:9">
      <c r="F185" s="41"/>
      <c r="G185" s="40"/>
      <c r="H185" s="40"/>
      <c r="I185" s="40"/>
    </row>
    <row r="186" spans="6:9">
      <c r="F186" s="41"/>
      <c r="G186" s="40"/>
      <c r="H186" s="40"/>
      <c r="I186" s="40"/>
    </row>
    <row r="187" spans="6:9">
      <c r="F187" s="41"/>
      <c r="G187" s="40"/>
      <c r="H187" s="40"/>
      <c r="I187" s="40"/>
    </row>
    <row r="188" spans="6:9">
      <c r="F188" s="41"/>
      <c r="G188" s="40"/>
      <c r="H188" s="40"/>
      <c r="I188" s="40"/>
    </row>
    <row r="189" spans="6:9">
      <c r="F189" s="41"/>
      <c r="G189" s="40"/>
      <c r="H189" s="40"/>
      <c r="I189" s="40"/>
    </row>
    <row r="190" spans="6:9">
      <c r="F190" s="41"/>
      <c r="G190" s="40"/>
      <c r="H190" s="40"/>
      <c r="I190" s="40"/>
    </row>
    <row r="191" spans="6:9">
      <c r="F191" s="41"/>
      <c r="G191" s="40"/>
      <c r="H191" s="40"/>
      <c r="I191" s="40"/>
    </row>
    <row r="192" spans="6:9">
      <c r="F192" s="41"/>
      <c r="G192" s="40"/>
      <c r="H192" s="40"/>
      <c r="I192" s="40"/>
    </row>
    <row r="193" spans="6:9">
      <c r="F193" s="41"/>
      <c r="G193" s="40"/>
      <c r="H193" s="40"/>
      <c r="I193" s="40"/>
    </row>
    <row r="194" spans="6:9">
      <c r="F194" s="41"/>
      <c r="G194" s="40"/>
      <c r="H194" s="40"/>
      <c r="I194" s="40"/>
    </row>
    <row r="195" spans="6:9">
      <c r="F195" s="41"/>
      <c r="G195" s="40"/>
      <c r="H195" s="40"/>
      <c r="I195" s="40"/>
    </row>
    <row r="196" spans="6:9">
      <c r="F196" s="41"/>
      <c r="G196" s="40"/>
      <c r="H196" s="40"/>
      <c r="I196" s="40"/>
    </row>
    <row r="197" spans="6:9">
      <c r="F197" s="41"/>
      <c r="G197" s="40"/>
      <c r="H197" s="40"/>
      <c r="I197" s="40"/>
    </row>
    <row r="198" spans="6:9">
      <c r="F198" s="41"/>
      <c r="G198" s="40"/>
      <c r="H198" s="40"/>
      <c r="I198" s="40"/>
    </row>
    <row r="199" spans="6:9">
      <c r="F199" s="41"/>
      <c r="G199" s="40"/>
      <c r="H199" s="40"/>
      <c r="I199" s="40"/>
    </row>
    <row r="200" spans="6:9">
      <c r="F200" s="41"/>
      <c r="G200" s="40"/>
      <c r="H200" s="40"/>
      <c r="I200" s="40"/>
    </row>
    <row r="201" spans="6:9">
      <c r="F201" s="41"/>
      <c r="G201" s="40"/>
      <c r="H201" s="40"/>
      <c r="I201" s="40"/>
    </row>
    <row r="202" spans="6:9">
      <c r="F202" s="41"/>
      <c r="G202" s="40"/>
      <c r="H202" s="40"/>
      <c r="I202" s="40"/>
    </row>
    <row r="203" spans="6:9">
      <c r="F203" s="41"/>
      <c r="G203" s="40"/>
      <c r="H203" s="40"/>
      <c r="I203" s="40"/>
    </row>
    <row r="204" spans="6:9" ht="13.5" customHeight="1">
      <c r="F204" s="41"/>
      <c r="G204" s="40"/>
      <c r="H204" s="40"/>
      <c r="I204" s="40"/>
    </row>
    <row r="205" spans="6:9" ht="13.5" customHeight="1">
      <c r="F205" s="41"/>
      <c r="G205" s="40"/>
      <c r="H205" s="40"/>
      <c r="I205" s="40"/>
    </row>
    <row r="206" spans="6:9" ht="13.5" customHeight="1">
      <c r="F206" s="41"/>
      <c r="G206" s="40"/>
      <c r="H206" s="40"/>
      <c r="I206" s="40"/>
    </row>
    <row r="207" spans="6:9" ht="13.5" customHeight="1">
      <c r="F207" s="41"/>
      <c r="G207" s="40"/>
      <c r="H207" s="40"/>
      <c r="I207" s="40"/>
    </row>
    <row r="208" spans="6:9" ht="13.5" customHeight="1">
      <c r="F208" s="41"/>
      <c r="G208" s="40"/>
      <c r="H208" s="40"/>
      <c r="I208" s="40"/>
    </row>
    <row r="209" spans="6:9" ht="13.5" customHeight="1">
      <c r="F209" s="41"/>
      <c r="G209" s="40"/>
      <c r="H209" s="40"/>
      <c r="I209" s="40"/>
    </row>
    <row r="210" spans="6:9" ht="13.5" customHeight="1">
      <c r="F210" s="41"/>
      <c r="G210" s="40"/>
      <c r="H210" s="40"/>
      <c r="I210" s="40"/>
    </row>
    <row r="211" spans="6:9" ht="13.5" customHeight="1">
      <c r="F211" s="41"/>
      <c r="G211" s="40"/>
      <c r="H211" s="40"/>
      <c r="I211" s="40"/>
    </row>
    <row r="212" spans="6:9" ht="13.5" customHeight="1">
      <c r="F212" s="41"/>
      <c r="G212" s="40"/>
      <c r="H212" s="40"/>
      <c r="I212" s="40"/>
    </row>
    <row r="213" spans="6:9" ht="13.5" customHeight="1">
      <c r="F213" s="41"/>
      <c r="G213" s="40"/>
      <c r="H213" s="40"/>
      <c r="I213" s="40"/>
    </row>
    <row r="214" spans="6:9" ht="13.5" customHeight="1">
      <c r="F214" s="41"/>
      <c r="G214" s="40"/>
      <c r="H214" s="40"/>
      <c r="I214" s="40"/>
    </row>
    <row r="215" spans="6:9" ht="13.5" customHeight="1">
      <c r="F215" s="41"/>
      <c r="G215" s="40"/>
      <c r="H215" s="40"/>
      <c r="I215" s="40"/>
    </row>
    <row r="216" spans="6:9" ht="13.5" customHeight="1">
      <c r="F216" s="41"/>
      <c r="G216" s="40"/>
      <c r="H216" s="40"/>
      <c r="I216" s="40"/>
    </row>
    <row r="217" spans="6:9" ht="13.5" customHeight="1">
      <c r="F217" s="41"/>
      <c r="G217" s="40"/>
      <c r="H217" s="40"/>
      <c r="I217" s="40"/>
    </row>
    <row r="218" spans="6:9" ht="13.5" customHeight="1">
      <c r="F218" s="41"/>
      <c r="G218" s="40"/>
      <c r="H218" s="40"/>
      <c r="I218" s="40"/>
    </row>
    <row r="219" spans="6:9" ht="13.5" customHeight="1">
      <c r="F219" s="41"/>
      <c r="G219" s="40"/>
      <c r="H219" s="40"/>
      <c r="I219" s="40"/>
    </row>
    <row r="220" spans="6:9" ht="13.5" customHeight="1">
      <c r="F220" s="41"/>
      <c r="G220" s="40"/>
      <c r="H220" s="40"/>
      <c r="I220" s="40"/>
    </row>
    <row r="221" spans="6:9" ht="13.5" customHeight="1">
      <c r="F221" s="41"/>
      <c r="G221" s="40"/>
      <c r="H221" s="40"/>
      <c r="I221" s="40"/>
    </row>
    <row r="222" spans="6:9" ht="13.5" customHeight="1">
      <c r="F222" s="41"/>
      <c r="G222" s="40"/>
      <c r="H222" s="40"/>
      <c r="I222" s="40"/>
    </row>
    <row r="223" spans="6:9" ht="13.5" customHeight="1">
      <c r="F223" s="41"/>
      <c r="G223" s="40"/>
      <c r="H223" s="40"/>
      <c r="I223" s="40"/>
    </row>
    <row r="224" spans="6:9" ht="13.5" customHeight="1">
      <c r="F224" s="41"/>
      <c r="G224" s="40"/>
      <c r="H224" s="40"/>
      <c r="I224" s="40"/>
    </row>
    <row r="225" spans="6:9" ht="13.5" customHeight="1">
      <c r="F225" s="41"/>
      <c r="G225" s="40"/>
      <c r="H225" s="40"/>
      <c r="I225" s="40"/>
    </row>
    <row r="226" spans="6:9" ht="13.5" customHeight="1">
      <c r="F226" s="41"/>
      <c r="G226" s="40"/>
      <c r="H226" s="40"/>
      <c r="I226" s="40"/>
    </row>
    <row r="227" spans="6:9" ht="13.5" customHeight="1">
      <c r="F227" s="41"/>
      <c r="G227" s="40"/>
      <c r="H227" s="40"/>
      <c r="I227" s="40"/>
    </row>
    <row r="228" spans="6:9" ht="13.5" customHeight="1">
      <c r="F228" s="40"/>
      <c r="G228" s="40"/>
      <c r="H228" s="40"/>
      <c r="I228" s="40"/>
    </row>
    <row r="229" spans="6:9" ht="13.5" customHeight="1">
      <c r="F229" s="40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_xlfn.ANCHORARRAY(Paddy_Settings!$E$2)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40"/>
  <sheetViews>
    <sheetView zoomScale="60" zoomScaleNormal="60" workbookViewId="0">
      <selection activeCell="C29" sqref="C29"/>
    </sheetView>
  </sheetViews>
  <sheetFormatPr defaultColWidth="8.75" defaultRowHeight="14.45"/>
  <cols>
    <col min="16" max="16" width="12.875" customWidth="1"/>
    <col min="17" max="17" width="13.25"/>
    <col min="18" max="18" width="13.875" customWidth="1"/>
    <col min="19" max="19" width="13.25"/>
  </cols>
  <sheetData>
    <row r="2" spans="1:19">
      <c r="K2" s="38" t="s">
        <v>16</v>
      </c>
      <c r="L2" s="38"/>
      <c r="M2" s="38"/>
      <c r="N2" s="38"/>
      <c r="P2" s="39"/>
      <c r="Q2" s="39"/>
      <c r="R2" s="39"/>
      <c r="S2" s="39"/>
    </row>
    <row r="3" spans="1:19">
      <c r="A3" s="17" t="s">
        <v>17</v>
      </c>
      <c r="B3" s="17" t="s">
        <v>18</v>
      </c>
      <c r="C3" s="18" t="s">
        <v>19</v>
      </c>
      <c r="D3" s="19" t="s">
        <v>20</v>
      </c>
      <c r="E3" s="19" t="s">
        <v>21</v>
      </c>
      <c r="F3" s="19" t="s">
        <v>22</v>
      </c>
      <c r="G3" s="19" t="s">
        <v>23</v>
      </c>
      <c r="H3" s="19" t="s">
        <v>24</v>
      </c>
      <c r="I3" s="20" t="s">
        <v>25</v>
      </c>
      <c r="J3" s="19" t="s">
        <v>26</v>
      </c>
      <c r="K3" s="21" t="s">
        <v>27</v>
      </c>
      <c r="L3" s="21" t="s">
        <v>28</v>
      </c>
      <c r="M3" s="21" t="s">
        <v>29</v>
      </c>
      <c r="N3" s="21" t="s">
        <v>30</v>
      </c>
      <c r="P3" s="22"/>
      <c r="Q3" s="22"/>
      <c r="R3" s="22"/>
      <c r="S3" s="22"/>
    </row>
    <row r="4" spans="1:19">
      <c r="A4" s="17" t="s">
        <v>31</v>
      </c>
      <c r="B4" s="17" t="s">
        <v>32</v>
      </c>
      <c r="C4" s="29">
        <v>626</v>
      </c>
      <c r="D4" s="30">
        <v>5.9496567505720801</v>
      </c>
      <c r="E4" s="31">
        <v>93.592677345537794</v>
      </c>
      <c r="F4" s="32" t="s">
        <v>33</v>
      </c>
      <c r="G4" s="32">
        <v>84</v>
      </c>
      <c r="H4" s="32">
        <v>82</v>
      </c>
      <c r="I4" s="33">
        <v>45300</v>
      </c>
      <c r="J4" s="32" t="s">
        <v>34</v>
      </c>
      <c r="K4" s="17" t="s">
        <v>2</v>
      </c>
      <c r="L4" s="17" t="s">
        <v>35</v>
      </c>
      <c r="M4" s="17" t="s">
        <v>36</v>
      </c>
      <c r="N4" s="17" t="s">
        <v>37</v>
      </c>
      <c r="P4" s="34"/>
      <c r="Q4" s="34"/>
      <c r="R4" s="34"/>
      <c r="S4" s="34"/>
    </row>
    <row r="5" spans="1:19">
      <c r="A5" s="17" t="s">
        <v>38</v>
      </c>
      <c r="B5" s="17" t="s">
        <v>32</v>
      </c>
      <c r="C5" s="29">
        <v>957</v>
      </c>
      <c r="D5" s="31">
        <v>0.67720090293453705</v>
      </c>
      <c r="E5" s="31">
        <v>98.419864559819402</v>
      </c>
      <c r="F5" s="32" t="s">
        <v>33</v>
      </c>
      <c r="G5" s="32">
        <v>80</v>
      </c>
      <c r="H5" s="32">
        <v>87</v>
      </c>
      <c r="I5" s="33">
        <v>45321</v>
      </c>
      <c r="J5" s="32" t="s">
        <v>34</v>
      </c>
      <c r="K5" s="17" t="s">
        <v>2</v>
      </c>
      <c r="L5" s="17" t="s">
        <v>35</v>
      </c>
      <c r="M5" s="17" t="s">
        <v>39</v>
      </c>
      <c r="N5" s="17" t="s">
        <v>40</v>
      </c>
      <c r="P5" s="34"/>
      <c r="Q5" s="34"/>
      <c r="R5" s="34"/>
      <c r="S5" s="34"/>
    </row>
    <row r="6" spans="1:19">
      <c r="A6" s="17" t="s">
        <v>41</v>
      </c>
      <c r="B6" s="17" t="s">
        <v>32</v>
      </c>
      <c r="C6" s="29">
        <v>1720</v>
      </c>
      <c r="D6" s="31">
        <v>0.224215246636771</v>
      </c>
      <c r="E6" s="31">
        <v>98.206278026905807</v>
      </c>
      <c r="F6" s="32" t="s">
        <v>33</v>
      </c>
      <c r="G6" s="32">
        <v>64</v>
      </c>
      <c r="H6" s="32">
        <v>86</v>
      </c>
      <c r="I6" s="33">
        <v>45321</v>
      </c>
      <c r="J6" s="32" t="s">
        <v>34</v>
      </c>
      <c r="K6" s="17" t="s">
        <v>2</v>
      </c>
      <c r="L6" s="17" t="s">
        <v>35</v>
      </c>
      <c r="M6" s="17" t="s">
        <v>39</v>
      </c>
      <c r="N6" s="17" t="s">
        <v>40</v>
      </c>
      <c r="P6" s="34"/>
      <c r="Q6" s="34"/>
      <c r="R6" s="34"/>
      <c r="S6" s="34"/>
    </row>
    <row r="7" spans="1:19">
      <c r="A7" s="17" t="s">
        <v>42</v>
      </c>
      <c r="B7" s="17" t="s">
        <v>32</v>
      </c>
      <c r="C7" s="29">
        <v>1196</v>
      </c>
      <c r="D7" s="31">
        <v>0.467289719626168</v>
      </c>
      <c r="E7" s="31">
        <v>98.364485981308405</v>
      </c>
      <c r="F7" s="32" t="s">
        <v>33</v>
      </c>
      <c r="G7" s="32">
        <v>84</v>
      </c>
      <c r="H7" s="32">
        <v>85</v>
      </c>
      <c r="I7" s="33">
        <v>45300</v>
      </c>
      <c r="J7" s="32" t="s">
        <v>43</v>
      </c>
      <c r="K7" s="17" t="s">
        <v>2</v>
      </c>
      <c r="L7" s="17" t="s">
        <v>35</v>
      </c>
      <c r="M7" s="17" t="s">
        <v>39</v>
      </c>
      <c r="N7" s="17" t="s">
        <v>40</v>
      </c>
      <c r="P7" s="34"/>
      <c r="Q7" s="34"/>
      <c r="R7" s="34"/>
      <c r="S7" s="34"/>
    </row>
    <row r="8" spans="1:19">
      <c r="A8" s="17" t="s">
        <v>44</v>
      </c>
      <c r="B8" s="17" t="s">
        <v>32</v>
      </c>
      <c r="C8" s="29">
        <v>582</v>
      </c>
      <c r="D8" s="30">
        <v>5.6470588235294104</v>
      </c>
      <c r="E8" s="31">
        <v>93.647058823529406</v>
      </c>
      <c r="F8" s="32" t="s">
        <v>33</v>
      </c>
      <c r="G8" s="32">
        <v>82</v>
      </c>
      <c r="H8" s="32">
        <v>81</v>
      </c>
      <c r="I8" s="33">
        <v>45300</v>
      </c>
      <c r="J8" s="32" t="s">
        <v>34</v>
      </c>
      <c r="K8" s="17" t="s">
        <v>2</v>
      </c>
      <c r="L8" s="17" t="s">
        <v>35</v>
      </c>
      <c r="M8" s="17" t="s">
        <v>36</v>
      </c>
      <c r="N8" s="17" t="s">
        <v>37</v>
      </c>
      <c r="P8" s="34"/>
      <c r="Q8" s="34"/>
      <c r="R8" s="34"/>
      <c r="S8" s="34"/>
    </row>
    <row r="9" spans="1:19">
      <c r="A9" s="17" t="s">
        <v>45</v>
      </c>
      <c r="B9" s="17" t="s">
        <v>32</v>
      </c>
      <c r="C9" s="29">
        <v>1795</v>
      </c>
      <c r="D9" s="31">
        <v>0.69444444444444398</v>
      </c>
      <c r="E9" s="31">
        <v>98.6111111111111</v>
      </c>
      <c r="F9" s="32" t="s">
        <v>33</v>
      </c>
      <c r="G9" s="32">
        <v>82</v>
      </c>
      <c r="H9" s="32">
        <v>85</v>
      </c>
      <c r="I9" s="33">
        <v>45321</v>
      </c>
      <c r="J9" s="32" t="s">
        <v>34</v>
      </c>
      <c r="K9" s="17" t="s">
        <v>2</v>
      </c>
      <c r="L9" s="17" t="s">
        <v>35</v>
      </c>
      <c r="M9" s="17" t="s">
        <v>39</v>
      </c>
      <c r="N9" s="17" t="s">
        <v>40</v>
      </c>
      <c r="P9" s="34"/>
      <c r="Q9" s="34"/>
      <c r="R9" s="34"/>
      <c r="S9" s="34"/>
    </row>
    <row r="10" spans="1:19">
      <c r="A10" s="17" t="s">
        <v>46</v>
      </c>
      <c r="B10" s="17" t="s">
        <v>32</v>
      </c>
      <c r="C10" s="29">
        <v>948</v>
      </c>
      <c r="D10" s="31">
        <v>2.2831050228310499</v>
      </c>
      <c r="E10" s="31">
        <v>97.716894977168906</v>
      </c>
      <c r="F10" s="32" t="s">
        <v>33</v>
      </c>
      <c r="G10" s="32">
        <v>68</v>
      </c>
      <c r="H10" s="32">
        <v>83</v>
      </c>
      <c r="I10" s="33">
        <v>45321</v>
      </c>
      <c r="J10" s="32" t="s">
        <v>34</v>
      </c>
      <c r="K10" s="17" t="s">
        <v>2</v>
      </c>
      <c r="L10" s="17" t="s">
        <v>35</v>
      </c>
      <c r="M10" s="17" t="s">
        <v>39</v>
      </c>
      <c r="N10" s="17" t="s">
        <v>40</v>
      </c>
      <c r="P10" s="34"/>
      <c r="Q10" s="34"/>
      <c r="R10" s="34"/>
      <c r="S10" s="34"/>
    </row>
    <row r="11" spans="1:19">
      <c r="A11" s="17" t="s">
        <v>47</v>
      </c>
      <c r="B11" s="17" t="s">
        <v>32</v>
      </c>
      <c r="C11" s="29">
        <v>1077</v>
      </c>
      <c r="D11" s="31">
        <v>0.89485458612975399</v>
      </c>
      <c r="E11" s="31">
        <v>98.881431767337801</v>
      </c>
      <c r="F11" s="32" t="s">
        <v>33</v>
      </c>
      <c r="G11" s="32">
        <v>80</v>
      </c>
      <c r="H11" s="32">
        <v>84</v>
      </c>
      <c r="I11" s="33">
        <v>45300</v>
      </c>
      <c r="J11" s="32" t="s">
        <v>48</v>
      </c>
      <c r="K11" s="17" t="s">
        <v>2</v>
      </c>
      <c r="L11" s="17" t="s">
        <v>35</v>
      </c>
      <c r="M11" s="17" t="s">
        <v>39</v>
      </c>
      <c r="N11" s="17" t="s">
        <v>40</v>
      </c>
      <c r="P11" s="34"/>
      <c r="Q11" s="34"/>
      <c r="R11" s="34"/>
      <c r="S11" s="34"/>
    </row>
    <row r="12" spans="1:19">
      <c r="A12" s="17" t="s">
        <v>49</v>
      </c>
      <c r="B12" s="17" t="s">
        <v>32</v>
      </c>
      <c r="C12" s="29">
        <v>1196</v>
      </c>
      <c r="D12" s="31">
        <v>0.44247787610619499</v>
      </c>
      <c r="E12" s="31">
        <v>98.672566371681398</v>
      </c>
      <c r="F12" s="32" t="s">
        <v>33</v>
      </c>
      <c r="G12" s="32">
        <v>76</v>
      </c>
      <c r="H12" s="32">
        <v>76</v>
      </c>
      <c r="I12" s="33">
        <v>45321</v>
      </c>
      <c r="J12" s="32" t="s">
        <v>34</v>
      </c>
      <c r="K12" s="17" t="s">
        <v>2</v>
      </c>
      <c r="L12" s="17" t="s">
        <v>35</v>
      </c>
      <c r="M12" s="17" t="s">
        <v>39</v>
      </c>
      <c r="N12" s="17" t="s">
        <v>40</v>
      </c>
      <c r="P12" s="34"/>
      <c r="Q12" s="34"/>
      <c r="R12" s="34"/>
      <c r="S12" s="34"/>
    </row>
    <row r="13" spans="1:19">
      <c r="A13" s="17" t="s">
        <v>50</v>
      </c>
      <c r="B13" s="17" t="s">
        <v>32</v>
      </c>
      <c r="C13" s="29">
        <v>1795</v>
      </c>
      <c r="D13" s="31">
        <v>0.22522522522522501</v>
      </c>
      <c r="E13" s="31">
        <v>98.873873873873904</v>
      </c>
      <c r="F13" s="32" t="s">
        <v>33</v>
      </c>
      <c r="G13" s="32">
        <v>78</v>
      </c>
      <c r="H13" s="32">
        <v>87</v>
      </c>
      <c r="I13" s="33">
        <v>45321</v>
      </c>
      <c r="J13" s="32" t="s">
        <v>34</v>
      </c>
      <c r="K13" s="17" t="s">
        <v>2</v>
      </c>
      <c r="L13" s="17" t="s">
        <v>35</v>
      </c>
      <c r="M13" s="17" t="s">
        <v>39</v>
      </c>
      <c r="N13" s="17" t="s">
        <v>40</v>
      </c>
      <c r="P13" s="34"/>
      <c r="Q13" s="34"/>
      <c r="R13" s="34"/>
      <c r="S13" s="34"/>
    </row>
    <row r="14" spans="1:19">
      <c r="A14" s="17" t="s">
        <v>51</v>
      </c>
      <c r="B14" s="17" t="s">
        <v>32</v>
      </c>
      <c r="C14" s="29">
        <v>1017</v>
      </c>
      <c r="D14" s="31">
        <v>0</v>
      </c>
      <c r="E14" s="31">
        <v>99.086757990867596</v>
      </c>
      <c r="F14" s="32" t="s">
        <v>33</v>
      </c>
      <c r="G14" s="32">
        <v>80</v>
      </c>
      <c r="H14" s="32">
        <v>84</v>
      </c>
      <c r="I14" s="33">
        <v>45300</v>
      </c>
      <c r="J14" s="32" t="s">
        <v>48</v>
      </c>
      <c r="K14" s="17" t="s">
        <v>2</v>
      </c>
      <c r="L14" s="17" t="s">
        <v>35</v>
      </c>
      <c r="M14" s="17" t="s">
        <v>39</v>
      </c>
      <c r="N14" s="17" t="s">
        <v>40</v>
      </c>
      <c r="P14" s="34"/>
      <c r="Q14" s="34"/>
      <c r="R14" s="34"/>
      <c r="S14" s="34"/>
    </row>
    <row r="15" spans="1:19">
      <c r="A15" s="17" t="s">
        <v>52</v>
      </c>
      <c r="B15" s="17" t="s">
        <v>32</v>
      </c>
      <c r="C15" s="29">
        <v>981</v>
      </c>
      <c r="D15" s="31">
        <v>1.8264840182648401</v>
      </c>
      <c r="E15" s="31">
        <v>97.260273972602704</v>
      </c>
      <c r="F15" s="32" t="s">
        <v>33</v>
      </c>
      <c r="G15" s="32">
        <v>76</v>
      </c>
      <c r="H15" s="32">
        <v>87</v>
      </c>
      <c r="I15" s="33">
        <v>45321</v>
      </c>
      <c r="J15" s="32" t="s">
        <v>34</v>
      </c>
      <c r="K15" s="17" t="s">
        <v>2</v>
      </c>
      <c r="L15" s="17" t="s">
        <v>35</v>
      </c>
      <c r="M15" s="17" t="s">
        <v>39</v>
      </c>
      <c r="N15" s="17" t="s">
        <v>40</v>
      </c>
      <c r="P15" s="34"/>
      <c r="Q15" s="34"/>
      <c r="R15" s="34"/>
      <c r="S15" s="34"/>
    </row>
    <row r="16" spans="1:19">
      <c r="A16" s="17" t="s">
        <v>53</v>
      </c>
      <c r="B16" s="17" t="s">
        <v>32</v>
      </c>
      <c r="C16" s="29">
        <v>685</v>
      </c>
      <c r="D16" s="31">
        <v>0.84745762711864403</v>
      </c>
      <c r="E16" s="31">
        <v>98.940677966101703</v>
      </c>
      <c r="F16" s="32" t="s">
        <v>33</v>
      </c>
      <c r="G16" s="32">
        <v>86</v>
      </c>
      <c r="H16" s="32">
        <v>90</v>
      </c>
      <c r="I16" s="33">
        <v>45300</v>
      </c>
      <c r="J16" s="32" t="s">
        <v>43</v>
      </c>
      <c r="K16" s="17" t="s">
        <v>2</v>
      </c>
      <c r="L16" s="17" t="s">
        <v>35</v>
      </c>
      <c r="M16" s="17" t="s">
        <v>36</v>
      </c>
      <c r="N16" s="17" t="s">
        <v>37</v>
      </c>
      <c r="P16" s="34"/>
      <c r="Q16" s="34"/>
      <c r="R16" s="34"/>
      <c r="S16" s="34"/>
    </row>
    <row r="17" spans="1:19">
      <c r="A17" s="17" t="s">
        <v>54</v>
      </c>
      <c r="B17" s="17" t="s">
        <v>32</v>
      </c>
      <c r="C17" s="29">
        <v>2059</v>
      </c>
      <c r="D17" s="31">
        <v>5.2287581699346397</v>
      </c>
      <c r="E17" s="31">
        <v>94.553376906318107</v>
      </c>
      <c r="F17" s="32" t="s">
        <v>33</v>
      </c>
      <c r="G17" s="32">
        <v>84</v>
      </c>
      <c r="H17" s="32">
        <v>89</v>
      </c>
      <c r="I17" s="33">
        <v>45300</v>
      </c>
      <c r="J17" s="32" t="s">
        <v>34</v>
      </c>
      <c r="K17" s="17" t="s">
        <v>2</v>
      </c>
      <c r="L17" s="17" t="s">
        <v>35</v>
      </c>
      <c r="M17" s="17" t="s">
        <v>36</v>
      </c>
      <c r="N17" s="17" t="s">
        <v>37</v>
      </c>
      <c r="P17" s="34"/>
      <c r="Q17" s="34"/>
      <c r="R17" s="34"/>
      <c r="S17" s="34"/>
    </row>
    <row r="18" spans="1:19">
      <c r="A18" s="17" t="s">
        <v>55</v>
      </c>
      <c r="B18" s="17" t="s">
        <v>32</v>
      </c>
      <c r="C18" s="29">
        <v>1075</v>
      </c>
      <c r="D18" s="31">
        <v>2.6785714285714302</v>
      </c>
      <c r="E18" s="31">
        <v>96.651785714285694</v>
      </c>
      <c r="F18" s="32" t="s">
        <v>33</v>
      </c>
      <c r="G18" s="32">
        <v>82</v>
      </c>
      <c r="H18" s="32">
        <v>87</v>
      </c>
      <c r="I18" s="33">
        <v>45300</v>
      </c>
      <c r="J18" s="32" t="s">
        <v>48</v>
      </c>
      <c r="K18" s="17" t="s">
        <v>2</v>
      </c>
      <c r="L18" s="17" t="s">
        <v>35</v>
      </c>
      <c r="M18" s="17" t="s">
        <v>36</v>
      </c>
      <c r="N18" s="17" t="s">
        <v>37</v>
      </c>
      <c r="P18" s="34"/>
      <c r="Q18" s="34"/>
      <c r="R18" s="34"/>
      <c r="S18" s="34"/>
    </row>
    <row r="19" spans="1:19">
      <c r="A19" s="17" t="s">
        <v>56</v>
      </c>
      <c r="B19" s="17" t="s">
        <v>32</v>
      </c>
      <c r="C19" s="29">
        <v>1296</v>
      </c>
      <c r="D19" s="31">
        <v>3.6951501154734401</v>
      </c>
      <c r="E19" s="31">
        <v>96.304849884526604</v>
      </c>
      <c r="F19" s="32" t="s">
        <v>33</v>
      </c>
      <c r="G19" s="32">
        <v>80</v>
      </c>
      <c r="H19" s="32">
        <v>82</v>
      </c>
      <c r="I19" s="33">
        <v>45300</v>
      </c>
      <c r="J19" s="32" t="s">
        <v>48</v>
      </c>
      <c r="K19" s="17" t="s">
        <v>2</v>
      </c>
      <c r="L19" s="17" t="s">
        <v>35</v>
      </c>
      <c r="M19" s="17" t="s">
        <v>36</v>
      </c>
      <c r="N19" s="17" t="s">
        <v>37</v>
      </c>
      <c r="P19" s="34"/>
      <c r="Q19" s="34"/>
      <c r="R19" s="34"/>
      <c r="S19" s="34"/>
    </row>
    <row r="20" spans="1:19">
      <c r="A20" s="17" t="s">
        <v>57</v>
      </c>
      <c r="B20" s="17" t="s">
        <v>32</v>
      </c>
      <c r="C20" s="29">
        <v>643</v>
      </c>
      <c r="D20" s="31">
        <v>3.57941834451902</v>
      </c>
      <c r="E20" s="31">
        <v>96.196868008948499</v>
      </c>
      <c r="F20" s="32" t="s">
        <v>33</v>
      </c>
      <c r="G20" s="32">
        <v>82</v>
      </c>
      <c r="H20" s="32">
        <v>84</v>
      </c>
      <c r="I20" s="33">
        <v>45321</v>
      </c>
      <c r="J20" s="32" t="s">
        <v>48</v>
      </c>
      <c r="K20" s="17" t="s">
        <v>2</v>
      </c>
      <c r="L20" s="17" t="s">
        <v>35</v>
      </c>
      <c r="M20" s="17" t="s">
        <v>36</v>
      </c>
      <c r="N20" s="17" t="s">
        <v>37</v>
      </c>
      <c r="P20" s="34"/>
      <c r="Q20" s="34"/>
      <c r="R20" s="34"/>
      <c r="S20" s="34"/>
    </row>
    <row r="21" spans="1:19">
      <c r="A21" s="17" t="s">
        <v>58</v>
      </c>
      <c r="B21" s="17" t="s">
        <v>32</v>
      </c>
      <c r="C21" s="29">
        <v>2163</v>
      </c>
      <c r="D21" s="31">
        <v>2.7649769585253501</v>
      </c>
      <c r="E21" s="31">
        <v>97.004608294930904</v>
      </c>
      <c r="F21" s="32" t="s">
        <v>33</v>
      </c>
      <c r="G21" s="32">
        <v>74</v>
      </c>
      <c r="H21" s="32">
        <v>82</v>
      </c>
      <c r="I21" s="33">
        <v>45300</v>
      </c>
      <c r="J21" s="32" t="s">
        <v>48</v>
      </c>
      <c r="K21" s="17" t="s">
        <v>2</v>
      </c>
      <c r="L21" s="17" t="s">
        <v>35</v>
      </c>
      <c r="M21" s="17" t="s">
        <v>36</v>
      </c>
      <c r="N21" s="17" t="s">
        <v>37</v>
      </c>
      <c r="P21" s="34"/>
      <c r="Q21" s="34"/>
      <c r="R21" s="34"/>
      <c r="S21" s="34"/>
    </row>
    <row r="22" spans="1:19">
      <c r="A22" s="17" t="s">
        <v>59</v>
      </c>
      <c r="B22" s="17" t="s">
        <v>32</v>
      </c>
      <c r="C22" s="29">
        <v>36</v>
      </c>
      <c r="D22" s="31">
        <v>2.8446389496717699</v>
      </c>
      <c r="E22" s="31">
        <v>96.717724288840301</v>
      </c>
      <c r="F22" s="32" t="s">
        <v>33</v>
      </c>
      <c r="G22" s="32">
        <v>86</v>
      </c>
      <c r="H22" s="32">
        <v>92</v>
      </c>
      <c r="I22" s="33">
        <v>45300</v>
      </c>
      <c r="J22" s="32" t="s">
        <v>48</v>
      </c>
      <c r="K22" s="17" t="s">
        <v>2</v>
      </c>
      <c r="L22" s="17" t="s">
        <v>35</v>
      </c>
      <c r="M22" s="17" t="s">
        <v>36</v>
      </c>
      <c r="N22" s="17" t="s">
        <v>37</v>
      </c>
      <c r="P22" s="34"/>
      <c r="Q22" s="34"/>
      <c r="R22" s="34"/>
      <c r="S22" s="34"/>
    </row>
    <row r="23" spans="1:19">
      <c r="A23" s="17" t="s">
        <v>60</v>
      </c>
      <c r="B23" s="17" t="s">
        <v>32</v>
      </c>
      <c r="C23" s="29">
        <v>1802</v>
      </c>
      <c r="D23" s="31">
        <v>2.7906976744185998</v>
      </c>
      <c r="E23" s="31">
        <v>96.744186046511601</v>
      </c>
      <c r="F23" s="32" t="s">
        <v>33</v>
      </c>
      <c r="G23" s="32">
        <v>82</v>
      </c>
      <c r="H23" s="32">
        <v>83</v>
      </c>
      <c r="I23" s="33">
        <v>45300</v>
      </c>
      <c r="J23" s="32" t="s">
        <v>48</v>
      </c>
      <c r="K23" s="17" t="s">
        <v>2</v>
      </c>
      <c r="L23" s="17" t="s">
        <v>35</v>
      </c>
      <c r="M23" s="17" t="s">
        <v>36</v>
      </c>
      <c r="N23" s="17" t="s">
        <v>37</v>
      </c>
      <c r="P23" s="34"/>
      <c r="Q23" s="34"/>
      <c r="R23" s="34"/>
      <c r="S23" s="34"/>
    </row>
    <row r="24" spans="1:19">
      <c r="A24" s="17" t="s">
        <v>61</v>
      </c>
      <c r="B24" s="17" t="s">
        <v>32</v>
      </c>
      <c r="C24" s="29">
        <v>730</v>
      </c>
      <c r="D24" s="31">
        <v>6.9264069264069299</v>
      </c>
      <c r="E24" s="31">
        <v>92.640692640692606</v>
      </c>
      <c r="F24" s="32" t="s">
        <v>33</v>
      </c>
      <c r="G24" s="32">
        <v>30</v>
      </c>
      <c r="H24" s="32">
        <v>80</v>
      </c>
      <c r="I24" s="33">
        <v>45300</v>
      </c>
      <c r="J24" s="32" t="s">
        <v>34</v>
      </c>
      <c r="K24" s="17" t="s">
        <v>2</v>
      </c>
      <c r="L24" s="17" t="s">
        <v>35</v>
      </c>
      <c r="M24" s="17" t="s">
        <v>36</v>
      </c>
      <c r="N24" s="17" t="s">
        <v>37</v>
      </c>
      <c r="P24" s="34"/>
      <c r="Q24" s="34"/>
      <c r="R24" s="34"/>
      <c r="S24" s="34"/>
    </row>
    <row r="25" spans="1:19">
      <c r="A25" s="17" t="s">
        <v>62</v>
      </c>
      <c r="B25" s="17" t="s">
        <v>32</v>
      </c>
      <c r="C25" s="29">
        <v>1425</v>
      </c>
      <c r="D25" s="31">
        <v>0.21691973969631201</v>
      </c>
      <c r="E25" s="31">
        <v>99.349240780911103</v>
      </c>
      <c r="F25" s="32" t="s">
        <v>33</v>
      </c>
      <c r="G25" s="32">
        <v>82</v>
      </c>
      <c r="H25" s="32">
        <v>82</v>
      </c>
      <c r="I25" s="33">
        <v>45300</v>
      </c>
      <c r="J25" s="32" t="s">
        <v>48</v>
      </c>
      <c r="K25" s="17" t="s">
        <v>2</v>
      </c>
      <c r="L25" s="17" t="s">
        <v>35</v>
      </c>
      <c r="M25" s="17" t="s">
        <v>36</v>
      </c>
      <c r="N25" s="17" t="s">
        <v>37</v>
      </c>
      <c r="P25" s="34"/>
      <c r="Q25" s="34"/>
      <c r="R25" s="34"/>
      <c r="S25" s="34"/>
    </row>
    <row r="26" spans="1:19">
      <c r="A26" s="17" t="s">
        <v>63</v>
      </c>
      <c r="B26" s="17" t="s">
        <v>32</v>
      </c>
      <c r="C26" s="29">
        <v>646</v>
      </c>
      <c r="D26" s="31">
        <v>0.66518847006651904</v>
      </c>
      <c r="E26" s="31">
        <v>99.113082039911305</v>
      </c>
      <c r="F26" s="32" t="s">
        <v>33</v>
      </c>
      <c r="G26" s="32">
        <v>84</v>
      </c>
      <c r="H26" s="32">
        <v>83</v>
      </c>
      <c r="I26" s="33">
        <v>45300</v>
      </c>
      <c r="J26" s="32" t="s">
        <v>48</v>
      </c>
      <c r="K26" s="17" t="s">
        <v>2</v>
      </c>
      <c r="L26" s="17" t="s">
        <v>35</v>
      </c>
      <c r="M26" s="17" t="s">
        <v>36</v>
      </c>
      <c r="N26" s="17" t="s">
        <v>37</v>
      </c>
      <c r="P26" s="34"/>
      <c r="Q26" s="34"/>
      <c r="R26" s="34"/>
      <c r="S26" s="34"/>
    </row>
    <row r="27" spans="1:19">
      <c r="A27" s="17" t="s">
        <v>64</v>
      </c>
      <c r="B27" s="17" t="s">
        <v>32</v>
      </c>
      <c r="C27" s="29">
        <v>739</v>
      </c>
      <c r="D27" s="31">
        <v>3.3755274261603399</v>
      </c>
      <c r="E27" s="31">
        <v>95.569620253164601</v>
      </c>
      <c r="F27" s="32" t="s">
        <v>33</v>
      </c>
      <c r="G27" s="32">
        <v>70</v>
      </c>
      <c r="H27" s="32">
        <v>81</v>
      </c>
      <c r="I27" s="33">
        <v>45300</v>
      </c>
      <c r="J27" s="32" t="s">
        <v>48</v>
      </c>
      <c r="K27" s="17" t="s">
        <v>2</v>
      </c>
      <c r="L27" s="17" t="s">
        <v>35</v>
      </c>
      <c r="M27" s="17" t="s">
        <v>36</v>
      </c>
      <c r="N27" s="17" t="s">
        <v>37</v>
      </c>
      <c r="P27" s="34"/>
      <c r="Q27" s="34"/>
      <c r="R27" s="34"/>
      <c r="S27" s="34"/>
    </row>
    <row r="28" spans="1:19">
      <c r="A28" s="17" t="s">
        <v>65</v>
      </c>
      <c r="B28" s="17" t="s">
        <v>32</v>
      </c>
      <c r="C28" s="29">
        <v>1250</v>
      </c>
      <c r="D28" s="31">
        <v>0.93240093240093203</v>
      </c>
      <c r="E28" s="31">
        <v>98.6013986013986</v>
      </c>
      <c r="F28" s="32" t="s">
        <v>33</v>
      </c>
      <c r="G28" s="32">
        <v>78</v>
      </c>
      <c r="H28" s="32">
        <v>86</v>
      </c>
      <c r="I28" s="33">
        <v>45300</v>
      </c>
      <c r="J28" s="32" t="s">
        <v>43</v>
      </c>
      <c r="K28" s="17" t="s">
        <v>2</v>
      </c>
      <c r="L28" s="17" t="s">
        <v>35</v>
      </c>
      <c r="M28" s="17" t="s">
        <v>36</v>
      </c>
      <c r="N28" s="17" t="s">
        <v>37</v>
      </c>
      <c r="P28" s="34"/>
      <c r="Q28" s="34"/>
      <c r="R28" s="34"/>
      <c r="S28" s="34"/>
    </row>
    <row r="29" spans="1:19">
      <c r="A29" s="17" t="s">
        <v>66</v>
      </c>
      <c r="B29" s="23" t="s">
        <v>67</v>
      </c>
      <c r="C29" s="29">
        <v>1050</v>
      </c>
      <c r="D29" s="31">
        <v>6.0790273556230998</v>
      </c>
      <c r="E29" s="31">
        <v>93.920972644376903</v>
      </c>
      <c r="F29" s="32" t="s">
        <v>33</v>
      </c>
      <c r="G29" s="32">
        <v>90</v>
      </c>
      <c r="H29" s="32">
        <v>86</v>
      </c>
      <c r="I29" s="33">
        <v>45309</v>
      </c>
      <c r="J29" s="32" t="s">
        <v>34</v>
      </c>
      <c r="K29" s="17" t="s">
        <v>68</v>
      </c>
      <c r="L29" s="17" t="s">
        <v>69</v>
      </c>
      <c r="M29" s="17" t="s">
        <v>70</v>
      </c>
      <c r="N29" s="17" t="s">
        <v>71</v>
      </c>
      <c r="P29" s="34"/>
      <c r="Q29" s="34"/>
      <c r="R29" s="34"/>
      <c r="S29" s="34"/>
    </row>
    <row r="30" spans="1:19">
      <c r="A30" s="17" t="s">
        <v>72</v>
      </c>
      <c r="B30" s="23" t="s">
        <v>67</v>
      </c>
      <c r="C30" s="29">
        <v>840</v>
      </c>
      <c r="D30" s="31">
        <v>2.5</v>
      </c>
      <c r="E30" s="31">
        <v>97.5</v>
      </c>
      <c r="F30" s="32" t="s">
        <v>33</v>
      </c>
      <c r="G30" s="32">
        <v>79</v>
      </c>
      <c r="H30" s="32">
        <v>75</v>
      </c>
      <c r="I30" s="33">
        <v>45309</v>
      </c>
      <c r="J30" s="32" t="s">
        <v>48</v>
      </c>
      <c r="K30" s="17" t="s">
        <v>68</v>
      </c>
      <c r="L30" s="17" t="s">
        <v>69</v>
      </c>
      <c r="M30" s="17" t="s">
        <v>70</v>
      </c>
      <c r="N30" s="17" t="s">
        <v>71</v>
      </c>
      <c r="P30" s="34"/>
      <c r="Q30" s="34"/>
      <c r="R30" s="34"/>
      <c r="S30" s="34"/>
    </row>
    <row r="31" spans="1:19">
      <c r="A31" s="17" t="s">
        <v>73</v>
      </c>
      <c r="B31" s="23" t="s">
        <v>67</v>
      </c>
      <c r="C31" s="29">
        <v>600</v>
      </c>
      <c r="D31" s="31">
        <v>6.0790273556230998</v>
      </c>
      <c r="E31" s="31">
        <v>93.920972644376903</v>
      </c>
      <c r="F31" s="32" t="s">
        <v>33</v>
      </c>
      <c r="G31" s="32">
        <v>84</v>
      </c>
      <c r="H31" s="32">
        <v>85</v>
      </c>
      <c r="I31" s="33">
        <v>45309</v>
      </c>
      <c r="J31" s="32" t="s">
        <v>34</v>
      </c>
      <c r="K31" s="17" t="s">
        <v>68</v>
      </c>
      <c r="L31" s="17" t="s">
        <v>69</v>
      </c>
      <c r="M31" s="17" t="s">
        <v>70</v>
      </c>
      <c r="N31" s="17" t="s">
        <v>74</v>
      </c>
      <c r="P31" s="34"/>
      <c r="Q31" s="34"/>
      <c r="R31" s="34"/>
      <c r="S31" s="34"/>
    </row>
    <row r="32" spans="1:19">
      <c r="A32" s="17" t="s">
        <v>75</v>
      </c>
      <c r="B32" s="23" t="s">
        <v>67</v>
      </c>
      <c r="C32" s="29">
        <v>5970</v>
      </c>
      <c r="D32" s="31">
        <v>1</v>
      </c>
      <c r="E32" s="31">
        <v>99</v>
      </c>
      <c r="F32" s="32" t="s">
        <v>33</v>
      </c>
      <c r="G32" s="32">
        <v>80</v>
      </c>
      <c r="H32" s="32">
        <v>82</v>
      </c>
      <c r="I32" s="33">
        <v>45310</v>
      </c>
      <c r="J32" s="32" t="s">
        <v>43</v>
      </c>
      <c r="K32" s="17" t="s">
        <v>68</v>
      </c>
      <c r="L32" s="17" t="s">
        <v>69</v>
      </c>
      <c r="M32" s="17" t="s">
        <v>70</v>
      </c>
      <c r="N32" s="17" t="s">
        <v>76</v>
      </c>
      <c r="P32" s="34"/>
      <c r="Q32" s="34"/>
      <c r="R32" s="34"/>
      <c r="S32" s="34"/>
    </row>
    <row r="33" spans="1:19">
      <c r="A33" s="17" t="s">
        <v>77</v>
      </c>
      <c r="B33" s="23" t="s">
        <v>67</v>
      </c>
      <c r="C33" s="29">
        <v>900</v>
      </c>
      <c r="D33" s="31">
        <v>6.2846580406654304</v>
      </c>
      <c r="E33" s="31">
        <v>93.715341959334594</v>
      </c>
      <c r="F33" s="32" t="s">
        <v>33</v>
      </c>
      <c r="G33" s="32">
        <v>66</v>
      </c>
      <c r="H33" s="32">
        <v>65</v>
      </c>
      <c r="I33" s="33">
        <v>45325</v>
      </c>
      <c r="J33" s="32" t="s">
        <v>34</v>
      </c>
      <c r="K33" s="17" t="s">
        <v>68</v>
      </c>
      <c r="L33" s="17" t="s">
        <v>69</v>
      </c>
      <c r="M33" s="17" t="s">
        <v>70</v>
      </c>
      <c r="N33" s="17" t="s">
        <v>74</v>
      </c>
      <c r="P33" s="34"/>
      <c r="Q33" s="34"/>
      <c r="R33" s="34"/>
      <c r="S33" s="34"/>
    </row>
    <row r="34" spans="1:19">
      <c r="A34" s="17" t="s">
        <v>78</v>
      </c>
      <c r="B34" s="23" t="s">
        <v>67</v>
      </c>
      <c r="C34" s="29">
        <v>1146</v>
      </c>
      <c r="D34" s="31">
        <v>6.6032411289387198</v>
      </c>
      <c r="E34" s="31">
        <v>93.396758871061294</v>
      </c>
      <c r="F34" s="32" t="s">
        <v>33</v>
      </c>
      <c r="G34" s="32">
        <v>82</v>
      </c>
      <c r="H34" s="32">
        <v>81</v>
      </c>
      <c r="I34" s="33">
        <v>45325</v>
      </c>
      <c r="J34" s="32" t="s">
        <v>34</v>
      </c>
      <c r="K34" s="17" t="s">
        <v>68</v>
      </c>
      <c r="L34" s="17" t="s">
        <v>69</v>
      </c>
      <c r="M34" s="17" t="s">
        <v>70</v>
      </c>
      <c r="N34" s="17" t="s">
        <v>71</v>
      </c>
      <c r="P34" s="34"/>
      <c r="Q34" s="34"/>
      <c r="R34" s="34"/>
      <c r="S34" s="34"/>
    </row>
    <row r="35" spans="1:19">
      <c r="A35" s="17" t="s">
        <v>79</v>
      </c>
      <c r="B35" s="23" t="s">
        <v>67</v>
      </c>
      <c r="C35" s="29">
        <v>2070</v>
      </c>
      <c r="D35" s="31">
        <v>6.6898543180635501</v>
      </c>
      <c r="E35" s="31">
        <v>93.310145681936405</v>
      </c>
      <c r="F35" s="32" t="s">
        <v>33</v>
      </c>
      <c r="G35" s="32">
        <v>80</v>
      </c>
      <c r="H35" s="32">
        <v>82</v>
      </c>
      <c r="I35" s="33">
        <v>45309</v>
      </c>
      <c r="J35" s="32" t="s">
        <v>34</v>
      </c>
      <c r="K35" s="17" t="s">
        <v>68</v>
      </c>
      <c r="L35" s="17" t="s">
        <v>69</v>
      </c>
      <c r="M35" s="17" t="s">
        <v>70</v>
      </c>
      <c r="N35" s="17" t="s">
        <v>74</v>
      </c>
      <c r="P35" s="34"/>
      <c r="Q35" s="34"/>
      <c r="R35" s="34"/>
      <c r="S35" s="34"/>
    </row>
    <row r="36" spans="1:19">
      <c r="A36" s="35" t="s">
        <v>80</v>
      </c>
      <c r="B36" s="35" t="s">
        <v>67</v>
      </c>
      <c r="C36" s="29">
        <v>2000</v>
      </c>
      <c r="D36" s="31">
        <v>1.5625</v>
      </c>
      <c r="E36" s="31">
        <v>98.214285714285694</v>
      </c>
      <c r="F36" s="32" t="s">
        <v>33</v>
      </c>
      <c r="G36" s="32">
        <v>78</v>
      </c>
      <c r="H36" s="32">
        <v>77</v>
      </c>
      <c r="I36" s="33">
        <v>45324</v>
      </c>
      <c r="J36" s="32" t="s">
        <v>34</v>
      </c>
      <c r="K36" s="35" t="s">
        <v>68</v>
      </c>
      <c r="L36" s="17" t="s">
        <v>69</v>
      </c>
      <c r="M36" s="17" t="s">
        <v>70</v>
      </c>
      <c r="N36" s="17" t="s">
        <v>81</v>
      </c>
      <c r="P36" s="34"/>
      <c r="Q36" s="34"/>
      <c r="R36" s="34"/>
      <c r="S36" s="34"/>
    </row>
    <row r="37" spans="1:19">
      <c r="A37" s="35" t="s">
        <v>80</v>
      </c>
      <c r="B37" s="35" t="s">
        <v>67</v>
      </c>
      <c r="C37" s="29">
        <v>2500</v>
      </c>
      <c r="D37" s="31">
        <v>1.5625</v>
      </c>
      <c r="E37" s="31">
        <v>98.214285714285694</v>
      </c>
      <c r="F37" s="32" t="s">
        <v>33</v>
      </c>
      <c r="G37" s="32">
        <v>78</v>
      </c>
      <c r="H37" s="32">
        <v>77</v>
      </c>
      <c r="I37" s="33">
        <v>45324</v>
      </c>
      <c r="J37" s="32" t="s">
        <v>34</v>
      </c>
      <c r="K37" s="35" t="s">
        <v>68</v>
      </c>
      <c r="L37" s="17" t="s">
        <v>69</v>
      </c>
      <c r="M37" s="17" t="s">
        <v>70</v>
      </c>
      <c r="N37" s="17" t="s">
        <v>81</v>
      </c>
      <c r="P37" s="34"/>
      <c r="Q37" s="34"/>
      <c r="R37" s="34"/>
      <c r="S37" s="34"/>
    </row>
    <row r="38" spans="1:19">
      <c r="A38" s="35" t="s">
        <v>80</v>
      </c>
      <c r="B38" s="35" t="s">
        <v>67</v>
      </c>
      <c r="C38" s="29">
        <v>3300</v>
      </c>
      <c r="D38" s="31">
        <v>1.5625</v>
      </c>
      <c r="E38" s="31">
        <v>98.214285714285694</v>
      </c>
      <c r="F38" s="32" t="s">
        <v>33</v>
      </c>
      <c r="G38" s="32">
        <v>78</v>
      </c>
      <c r="H38" s="32">
        <v>78</v>
      </c>
      <c r="I38" s="33">
        <v>45324</v>
      </c>
      <c r="J38" s="32" t="s">
        <v>34</v>
      </c>
      <c r="K38" s="35" t="s">
        <v>68</v>
      </c>
      <c r="L38" s="17" t="s">
        <v>69</v>
      </c>
      <c r="M38" s="17" t="s">
        <v>70</v>
      </c>
      <c r="N38" s="17" t="s">
        <v>81</v>
      </c>
      <c r="P38" s="34"/>
      <c r="Q38" s="34"/>
      <c r="R38" s="34"/>
      <c r="S38" s="34"/>
    </row>
    <row r="39" spans="1:19">
      <c r="C39">
        <f>SUM(C4:C38)</f>
        <v>48815</v>
      </c>
      <c r="P39" s="34"/>
      <c r="Q39" s="34"/>
      <c r="R39" s="34"/>
      <c r="S39" s="34"/>
    </row>
    <row r="40" spans="1:19">
      <c r="P40" s="34"/>
      <c r="Q40" s="34"/>
      <c r="R40" s="34"/>
      <c r="S40" s="34"/>
    </row>
  </sheetData>
  <mergeCells count="2">
    <mergeCell ref="K2:N2"/>
    <mergeCell ref="P2:S2"/>
  </mergeCells>
  <conditionalFormatting sqref="A3">
    <cfRule type="duplicateValues" dxfId="8" priority="1"/>
  </conditionalFormatting>
  <conditionalFormatting sqref="A29:A35">
    <cfRule type="duplicateValues" dxfId="7" priority="4"/>
    <cfRule type="duplicateValues" dxfId="6" priority="5"/>
  </conditionalFormatting>
  <conditionalFormatting sqref="A4:A28 A36:A38">
    <cfRule type="duplicateValues" dxfId="5" priority="3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C7" sqref="C7"/>
    </sheetView>
  </sheetViews>
  <sheetFormatPr defaultColWidth="8.75" defaultRowHeight="14.45"/>
  <cols>
    <col min="1" max="1" width="10.625" customWidth="1"/>
    <col min="2" max="2" width="15.875" customWidth="1"/>
    <col min="3" max="3" width="11.875" customWidth="1"/>
    <col min="4" max="4" width="12.625" customWidth="1"/>
    <col min="5" max="5" width="15.5" customWidth="1"/>
  </cols>
  <sheetData>
    <row r="1" spans="1:5" ht="28.7">
      <c r="A1" s="13" t="s">
        <v>82</v>
      </c>
      <c r="B1" s="13" t="s">
        <v>83</v>
      </c>
      <c r="C1" s="13" t="s">
        <v>84</v>
      </c>
      <c r="D1" s="13" t="s">
        <v>85</v>
      </c>
    </row>
    <row r="2" spans="1:5" ht="15.2">
      <c r="A2" s="13">
        <v>1</v>
      </c>
      <c r="B2" s="13" t="s">
        <v>86</v>
      </c>
      <c r="C2" s="13" t="s">
        <v>87</v>
      </c>
      <c r="D2" s="13" t="s">
        <v>88</v>
      </c>
      <c r="E2" t="str" cm="1">
        <f t="array" ref="E2:E3">_xlfn.UNIQUE(_xlfn._xlws.FILTER(Paddy_Data_Upload!K4:K10000,Paddy_Data_Upload!K4:K10000&lt;&gt;""))</f>
        <v>KOTHURU COLD</v>
      </c>
    </row>
    <row r="3" spans="1:5" ht="15.2">
      <c r="A3" s="13">
        <v>2</v>
      </c>
      <c r="B3" s="14" t="s">
        <v>89</v>
      </c>
      <c r="C3" s="15">
        <v>0.75</v>
      </c>
      <c r="D3" s="14"/>
      <c r="E3" t="str">
        <v>BVN COLD</v>
      </c>
    </row>
    <row r="4" spans="1:5" ht="15.2">
      <c r="A4" s="13">
        <v>3</v>
      </c>
      <c r="B4" s="14" t="s">
        <v>90</v>
      </c>
      <c r="C4" s="15">
        <v>0.95</v>
      </c>
      <c r="D4" s="14"/>
    </row>
    <row r="5" spans="1:5" ht="15.2">
      <c r="A5" s="13">
        <v>4</v>
      </c>
      <c r="B5" s="14" t="s">
        <v>91</v>
      </c>
      <c r="C5" s="16">
        <v>0.01</v>
      </c>
      <c r="D5" s="16">
        <v>1.4999999999999999E-2</v>
      </c>
    </row>
    <row r="6" spans="1:5" ht="13.5">
      <c r="A6">
        <v>5</v>
      </c>
      <c r="B6" t="s">
        <v>92</v>
      </c>
      <c r="C6" s="36">
        <v>0.8</v>
      </c>
    </row>
    <row r="7" spans="1:5" ht="13.5">
      <c r="C7" s="36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8"/>
  <sheetViews>
    <sheetView zoomScale="70" zoomScaleNormal="70" workbookViewId="0">
      <selection activeCell="B2" sqref="B2"/>
    </sheetView>
  </sheetViews>
  <sheetFormatPr defaultColWidth="8.75" defaultRowHeight="14.45"/>
  <cols>
    <col min="1" max="1" width="10.5" customWidth="1"/>
    <col min="2" max="2" width="11.875" customWidth="1"/>
    <col min="3" max="3" width="8.75" customWidth="1"/>
    <col min="4" max="4" width="7.75" customWidth="1"/>
    <col min="5" max="5" width="23.75" customWidth="1"/>
    <col min="6" max="6" width="15.125" customWidth="1"/>
    <col min="7" max="8" width="11.875" customWidth="1"/>
    <col min="9" max="9" width="10.625" customWidth="1"/>
    <col min="10" max="10" width="9.625" customWidth="1"/>
    <col min="11" max="11" width="8.25" customWidth="1"/>
    <col min="12" max="12" width="14.125" customWidth="1"/>
    <col min="13" max="13" width="13.625" customWidth="1"/>
  </cols>
  <sheetData>
    <row r="1" spans="1:13">
      <c r="B1" s="12" t="s">
        <v>93</v>
      </c>
      <c r="E1" t="s">
        <v>94</v>
      </c>
      <c r="F1" s="12">
        <v>800</v>
      </c>
      <c r="G1" t="str">
        <f>IF(F2=0, "No Allocated Stock", IF(AND(F8&lt;=0.015, F7&lt;=0.085, F6&gt;=0.9, F3&gt;=0.75, F4&gt;=0.9, F5&gt;=0.9), "✅ Blend Fully Optimized (Priority 1)", "❌ Rejected (Out of Bounds)"))</f>
        <v>✅ Blend Fully Optimized (Priority 1)</v>
      </c>
    </row>
    <row r="2" spans="1:13">
      <c r="B2">
        <v>4</v>
      </c>
      <c r="E2" t="s">
        <v>3</v>
      </c>
      <c r="F2" s="44">
        <f>SUM(E11:E200)</f>
        <v>800</v>
      </c>
      <c r="G2" s="44"/>
    </row>
    <row r="3" spans="1:13">
      <c r="E3" s="34" t="s">
        <v>95</v>
      </c>
      <c r="F3" s="46">
        <f>IFERROR(SUM(F11:F200) / (F2 * 100), 0)</f>
        <v>0.79424500000000009</v>
      </c>
    </row>
    <row r="4" spans="1:13">
      <c r="E4" s="34" t="s">
        <v>96</v>
      </c>
      <c r="F4" s="46">
        <f>IFERROR(SUM(G11:G200) / (F2 * 100), 0)</f>
        <v>0.9424625000000002</v>
      </c>
    </row>
    <row r="5" spans="1:13">
      <c r="E5" s="34" t="s">
        <v>97</v>
      </c>
      <c r="F5" s="46">
        <f>IFERROR(SUM(H11:H200) / (F2 * 100), 0)</f>
        <v>0.98743795000000023</v>
      </c>
    </row>
    <row r="6" spans="1:13">
      <c r="E6" s="34" t="s">
        <v>7</v>
      </c>
      <c r="F6" s="46">
        <f>IFERROR(SUM(I11:I200) / (F2 * 100), 0)</f>
        <v>0.98743795000000023</v>
      </c>
    </row>
    <row r="7" spans="1:13">
      <c r="E7" s="34" t="s">
        <v>98</v>
      </c>
      <c r="F7" s="46">
        <f>IFERROR(SUM(J11:J200) / (F2 * 100), 0)</f>
        <v>1.256205E-2</v>
      </c>
    </row>
    <row r="8" spans="1:13">
      <c r="E8" s="34" t="s">
        <v>99</v>
      </c>
      <c r="F8" s="46">
        <f>IFERROR(SUM(K11:K200) / (F2 * 100), 0)</f>
        <v>0</v>
      </c>
    </row>
    <row r="10" spans="1:13" ht="13.5">
      <c r="A10" t="s">
        <v>100</v>
      </c>
      <c r="B10" t="s">
        <v>101</v>
      </c>
      <c r="C10" t="s">
        <v>102</v>
      </c>
      <c r="D10" t="s">
        <v>103</v>
      </c>
      <c r="E10" t="s">
        <v>104</v>
      </c>
      <c r="F10" s="43" t="s">
        <v>15</v>
      </c>
      <c r="G10" s="43" t="s">
        <v>105</v>
      </c>
      <c r="H10" s="43" t="s">
        <v>106</v>
      </c>
      <c r="I10" s="43" t="s">
        <v>107</v>
      </c>
      <c r="J10" s="43" t="s">
        <v>108</v>
      </c>
      <c r="K10" s="43" t="s">
        <v>109</v>
      </c>
    </row>
    <row r="11" spans="1:13" ht="13.5">
      <c r="A11" t="str" cm="1">
        <f t="array" ref="A11:A34">_xlfn._xlws.FILTER(Cotton_Data_Upload!A4:A100,Cotton_Data_Upload!B4:B100=$B$2,"No Lots")</f>
        <v>SK2313258</v>
      </c>
      <c r="B11">
        <f>IF(A11&lt;&gt;"",$B$2,"")</f>
        <v>4</v>
      </c>
      <c r="C11" s="34">
        <f>IF(A11&lt;&gt;"",_xlfn.XLOOKUP(A11,Cotton_Data_Upload!A:A,Cotton_Data_Upload!C:C),0)</f>
        <v>21.5</v>
      </c>
      <c r="D11" s="34">
        <f>IF(A11&lt;&gt;"",_xlfn.XLOOKUP(A11,Cotton_Data_Upload!A:A,Cotton_Data_Upload!D:D),0)</f>
        <v>47.7777777777778</v>
      </c>
      <c r="E11" s="27">
        <f>MIN(C11, MAX(0, $F$1))</f>
        <v>21.5</v>
      </c>
      <c r="F11" s="45">
        <f>IF(E11&gt;0, E11 * _xlfn.XLOOKUP(A11, Cotton_Data_Upload!A:A, Cotton_Data_Upload!E:E, 0), 0)</f>
        <v>1870.5</v>
      </c>
      <c r="G11" s="34">
        <f>IF(E11&gt;0, E11 * _xlfn.XLOOKUP(A11, Cotton_Data_Upload!A:A, Cotton_Data_Upload!H:H, 0), 0)</f>
        <v>2107</v>
      </c>
      <c r="H11" s="34">
        <f>IF(E11&gt;0, E11 * _xlfn.XLOOKUP(A11, Cotton_Data_Upload!A:A, Cotton_Data_Upload!I:I, 0), 0)</f>
        <v>2150</v>
      </c>
      <c r="I11">
        <f>IF(E11&gt;0, E11 * _xlfn.XLOOKUP(A11, Cotton_Data_Upload!A:A, Cotton_Data_Upload!I:I, 0), 0)</f>
        <v>2150</v>
      </c>
      <c r="J11">
        <f>IF(E11&gt;0, E11 * _xlfn.XLOOKUP(A11, Cotton_Data_Upload!A:A, Cotton_Data_Upload!J:J, 0), 0)</f>
        <v>0</v>
      </c>
      <c r="K11" s="47">
        <f>IF(E11&gt;0, E11 * _xlfn.XLOOKUP(A11, Cotton_Data_Upload!A:A, Cotton_Data_Upload!L:L, 0), 0)</f>
        <v>0</v>
      </c>
      <c r="L11" s="34"/>
      <c r="M11" s="34"/>
    </row>
    <row r="12" spans="1:13" ht="13.5">
      <c r="A12" t="str">
        <v>SK2311828</v>
      </c>
      <c r="B12">
        <f t="shared" ref="B12:B34" si="0">IF(A12&lt;&gt;"",$B$2,"")</f>
        <v>4</v>
      </c>
      <c r="C12" s="34">
        <f>IF(A12&lt;&gt;"",_xlfn.XLOOKUP(A12,Cotton_Data_Upload!A:A,Cotton_Data_Upload!C:C),0)</f>
        <v>110.5</v>
      </c>
      <c r="D12" s="34">
        <f>IF(A12&lt;&gt;"",_xlfn.XLOOKUP(A12,Cotton_Data_Upload!A:A,Cotton_Data_Upload!D:D),0)</f>
        <v>245.555555555556</v>
      </c>
      <c r="E12" s="27">
        <f>MIN(C12, MAX(0, $F$1 - SUM($E$11:E11)))</f>
        <v>110.5</v>
      </c>
      <c r="F12" s="45">
        <f>IF(E12&gt;0, E12 * IFERROR(_xlfn.XLOOKUP(A12, Cotton_Data_Upload!A:A, Cotton_Data_Upload!E:E), 0), 0)</f>
        <v>9613.5</v>
      </c>
      <c r="G12" s="34">
        <f>E12 * _xlfn.XLOOKUP(A12, Cotton_Data_Upload!A:A, Cotton_Data_Upload!H:H)</f>
        <v>10829</v>
      </c>
      <c r="H12" s="34">
        <f>E12 * _xlfn.XLOOKUP(A12, Cotton_Data_Upload!A:A, Cotton_Data_Upload!I:I)</f>
        <v>10759.385</v>
      </c>
      <c r="I12">
        <f>IF(E12&gt;0, E12 * _xlfn.XLOOKUP(A12, Cotton_Data_Upload!A:A, Cotton_Data_Upload!I:I, 0), 0)</f>
        <v>10759.385</v>
      </c>
      <c r="J12">
        <f>IF(E12&gt;0, E12 * _xlfn.XLOOKUP(A12, Cotton_Data_Upload!A:A, Cotton_Data_Upload!J:J, 0), 0)</f>
        <v>290.61500000000001</v>
      </c>
      <c r="K12" s="47">
        <f>IF(E12&gt;0, E12 * _xlfn.XLOOKUP(A12, Cotton_Data_Upload!A:A, Cotton_Data_Upload!K:K, 0), 0)</f>
        <v>0</v>
      </c>
      <c r="L12" s="34"/>
      <c r="M12" s="34"/>
    </row>
    <row r="13" spans="1:13" ht="13.5">
      <c r="A13" t="str">
        <v>SK2311881</v>
      </c>
      <c r="B13">
        <f t="shared" si="0"/>
        <v>4</v>
      </c>
      <c r="C13" s="34">
        <f>IF(A13&lt;&gt;"",_xlfn.XLOOKUP(A13,Cotton_Data_Upload!A:A,Cotton_Data_Upload!C:C),0)</f>
        <v>56.6</v>
      </c>
      <c r="D13" s="34">
        <f>IF(A13&lt;&gt;"",_xlfn.XLOOKUP(A13,Cotton_Data_Upload!A:A,Cotton_Data_Upload!D:D),0)</f>
        <v>125.777777777778</v>
      </c>
      <c r="E13" s="27">
        <f>MIN(C13, MAX(0, $F$1 - SUM($E$11:E12)))</f>
        <v>56.6</v>
      </c>
      <c r="F13" s="45">
        <f>IF(E13&gt;0, E13 * IFERROR(_xlfn.XLOOKUP(A13, Cotton_Data_Upload!A:A, Cotton_Data_Upload!E:E), 0), 0)</f>
        <v>4811</v>
      </c>
      <c r="G13" s="34">
        <f>E13 * _xlfn.XLOOKUP(A13, Cotton_Data_Upload!A:A, Cotton_Data_Upload!H:H)</f>
        <v>5660</v>
      </c>
      <c r="H13" s="34">
        <f>E13 * _xlfn.XLOOKUP(A13, Cotton_Data_Upload!A:A, Cotton_Data_Upload!I:I)</f>
        <v>5660</v>
      </c>
      <c r="I13">
        <f>IF(E13&gt;0, E13 * _xlfn.XLOOKUP(A13, Cotton_Data_Upload!A:A, Cotton_Data_Upload!I:I, 0), 0)</f>
        <v>5660</v>
      </c>
      <c r="J13">
        <f>IF(E13&gt;0, E13 * _xlfn.XLOOKUP(A13, Cotton_Data_Upload!A:A, Cotton_Data_Upload!J:J, 0), 0)</f>
        <v>0</v>
      </c>
      <c r="K13" s="47">
        <f>IF(E13&gt;0, E13 * _xlfn.XLOOKUP(A13, Cotton_Data_Upload!A:A, Cotton_Data_Upload!K:K, 0), 0)</f>
        <v>0</v>
      </c>
      <c r="L13" s="34"/>
      <c r="M13" s="34"/>
    </row>
    <row r="14" spans="1:13" ht="13.5">
      <c r="A14" t="str">
        <v>SK2312996</v>
      </c>
      <c r="B14">
        <f t="shared" si="0"/>
        <v>4</v>
      </c>
      <c r="C14" s="34">
        <f>IF(A14&lt;&gt;"",_xlfn.XLOOKUP(A14,Cotton_Data_Upload!A:A,Cotton_Data_Upload!C:C),0)</f>
        <v>69.3</v>
      </c>
      <c r="D14" s="34">
        <f>IF(A14&lt;&gt;"",_xlfn.XLOOKUP(A14,Cotton_Data_Upload!A:A,Cotton_Data_Upload!D:D),0)</f>
        <v>154</v>
      </c>
      <c r="E14" s="27">
        <f>MIN(C14, MAX(0, $F$1 - SUM($E$11:E13)))</f>
        <v>69.3</v>
      </c>
      <c r="F14" s="45">
        <f>IF(E14&gt;0, E14 * IFERROR(_xlfn.XLOOKUP(A14, Cotton_Data_Upload!A:A, Cotton_Data_Upload!E:E), 0), 0)</f>
        <v>5821.2</v>
      </c>
      <c r="G14" s="34">
        <f>E14 * _xlfn.XLOOKUP(A14, Cotton_Data_Upload!A:A, Cotton_Data_Upload!H:H)</f>
        <v>6652.7999999999993</v>
      </c>
      <c r="H14" s="34">
        <f>E14 * _xlfn.XLOOKUP(A14, Cotton_Data_Upload!A:A, Cotton_Data_Upload!I:I)</f>
        <v>6410.25</v>
      </c>
      <c r="I14">
        <f>IF(E14&gt;0, E14 * _xlfn.XLOOKUP(A14, Cotton_Data_Upload!A:A, Cotton_Data_Upload!I:I, 0), 0)</f>
        <v>6410.25</v>
      </c>
      <c r="J14">
        <f>IF(E14&gt;0, E14 * _xlfn.XLOOKUP(A14, Cotton_Data_Upload!A:A, Cotton_Data_Upload!J:J, 0), 0)</f>
        <v>519.75</v>
      </c>
      <c r="K14" s="47">
        <f>IF(E14&gt;0, E14 * _xlfn.XLOOKUP(A14, Cotton_Data_Upload!A:A, Cotton_Data_Upload!K:K, 0), 0)</f>
        <v>0</v>
      </c>
      <c r="L14" s="34"/>
      <c r="M14" s="34"/>
    </row>
    <row r="15" spans="1:13" ht="13.5">
      <c r="A15" t="str">
        <v>SK2313151</v>
      </c>
      <c r="B15">
        <f t="shared" si="0"/>
        <v>4</v>
      </c>
      <c r="C15" s="34">
        <f>IF(A15&lt;&gt;"",_xlfn.XLOOKUP(A15,Cotton_Data_Upload!A:A,Cotton_Data_Upload!C:C),0)</f>
        <v>63.2</v>
      </c>
      <c r="D15" s="34">
        <f>IF(A15&lt;&gt;"",_xlfn.XLOOKUP(A15,Cotton_Data_Upload!A:A,Cotton_Data_Upload!D:D),0)</f>
        <v>140.444444444444</v>
      </c>
      <c r="E15" s="27">
        <f>MIN(C15, MAX(0, $F$1 - SUM($E$11:E14)))</f>
        <v>63.2</v>
      </c>
      <c r="F15" s="45">
        <f>IF(E15&gt;0, E15 * IFERROR(_xlfn.XLOOKUP(A15, Cotton_Data_Upload!A:A, Cotton_Data_Upload!E:E), 0), 0)</f>
        <v>5308.8</v>
      </c>
      <c r="G15" s="34">
        <f>E15 * _xlfn.XLOOKUP(A15, Cotton_Data_Upload!A:A, Cotton_Data_Upload!H:H)</f>
        <v>2844</v>
      </c>
      <c r="H15" s="34">
        <f>E15 * _xlfn.XLOOKUP(A15, Cotton_Data_Upload!A:A, Cotton_Data_Upload!I:I)</f>
        <v>6320</v>
      </c>
      <c r="I15">
        <f>IF(E15&gt;0, E15 * _xlfn.XLOOKUP(A15, Cotton_Data_Upload!A:A, Cotton_Data_Upload!I:I, 0), 0)</f>
        <v>6320</v>
      </c>
      <c r="J15">
        <f>IF(E15&gt;0, E15 * _xlfn.XLOOKUP(A15, Cotton_Data_Upload!A:A, Cotton_Data_Upload!J:J, 0), 0)</f>
        <v>0</v>
      </c>
      <c r="K15" s="47">
        <f>IF(E15&gt;0, E15 * _xlfn.XLOOKUP(A15, Cotton_Data_Upload!A:A, Cotton_Data_Upload!K:K, 0), 0)</f>
        <v>0</v>
      </c>
      <c r="L15" s="34"/>
      <c r="M15" s="34"/>
    </row>
    <row r="16" spans="1:13" ht="13.5">
      <c r="A16" t="str">
        <v>SK2313098</v>
      </c>
      <c r="B16">
        <f t="shared" si="0"/>
        <v>4</v>
      </c>
      <c r="C16" s="34">
        <f>IF(A16&lt;&gt;"",_xlfn.XLOOKUP(A16,Cotton_Data_Upload!A:A,Cotton_Data_Upload!C:C),0)</f>
        <v>109.5</v>
      </c>
      <c r="D16" s="34">
        <f>IF(A16&lt;&gt;"",_xlfn.XLOOKUP(A16,Cotton_Data_Upload!A:A,Cotton_Data_Upload!D:D),0)</f>
        <v>243.333333333333</v>
      </c>
      <c r="E16" s="27">
        <f>MIN(C16, MAX(0, $F$1 - SUM($E$11:E15)))</f>
        <v>109.5</v>
      </c>
      <c r="F16" s="45">
        <f>IF(E16&gt;0, E16 * IFERROR(_xlfn.XLOOKUP(A16, Cotton_Data_Upload!A:A, Cotton_Data_Upload!E:E), 0), 0)</f>
        <v>9088.5</v>
      </c>
      <c r="G16" s="34">
        <f>E16 * _xlfn.XLOOKUP(A16, Cotton_Data_Upload!A:A, Cotton_Data_Upload!H:H)</f>
        <v>10950</v>
      </c>
      <c r="H16" s="34">
        <f>E16 * _xlfn.XLOOKUP(A16, Cotton_Data_Upload!A:A, Cotton_Data_Upload!I:I)</f>
        <v>10950</v>
      </c>
      <c r="I16">
        <f>IF(E16&gt;0, E16 * _xlfn.XLOOKUP(A16, Cotton_Data_Upload!A:A, Cotton_Data_Upload!I:I, 0), 0)</f>
        <v>10950</v>
      </c>
      <c r="J16">
        <f>IF(E16&gt;0, E16 * _xlfn.XLOOKUP(A16, Cotton_Data_Upload!A:A, Cotton_Data_Upload!J:J, 0), 0)</f>
        <v>0</v>
      </c>
      <c r="K16" s="47">
        <f>IF(E16&gt;0, E16 * _xlfn.XLOOKUP(A16, Cotton_Data_Upload!A:A, Cotton_Data_Upload!K:K, 0), 0)</f>
        <v>0</v>
      </c>
      <c r="L16" s="34"/>
      <c r="M16" s="34"/>
    </row>
    <row r="17" spans="1:13" ht="13.5">
      <c r="A17" t="str">
        <v>SK2313182</v>
      </c>
      <c r="B17">
        <f t="shared" si="0"/>
        <v>4</v>
      </c>
      <c r="C17" s="34">
        <f>IF(A17&lt;&gt;"",_xlfn.XLOOKUP(A17,Cotton_Data_Upload!A:A,Cotton_Data_Upload!C:C),0)</f>
        <v>17</v>
      </c>
      <c r="D17" s="34">
        <f>IF(A17&lt;&gt;"",_xlfn.XLOOKUP(A17,Cotton_Data_Upload!A:A,Cotton_Data_Upload!D:D),0)</f>
        <v>37.7777777777778</v>
      </c>
      <c r="E17" s="27">
        <f>MIN(C17, MAX(0, $F$1 - SUM($E$11:E16)))</f>
        <v>17</v>
      </c>
      <c r="F17" s="45">
        <f>IF(E17&gt;0, E17 * IFERROR(_xlfn.XLOOKUP(A17, Cotton_Data_Upload!A:A, Cotton_Data_Upload!E:E), 0), 0)</f>
        <v>1411</v>
      </c>
      <c r="G17" s="34">
        <f>E17 * _xlfn.XLOOKUP(A17, Cotton_Data_Upload!A:A, Cotton_Data_Upload!H:H)</f>
        <v>1666</v>
      </c>
      <c r="H17" s="34">
        <f>E17 * _xlfn.XLOOKUP(A17, Cotton_Data_Upload!A:A, Cotton_Data_Upload!I:I)</f>
        <v>1624.52</v>
      </c>
      <c r="I17">
        <f>IF(E17&gt;0, E17 * _xlfn.XLOOKUP(A17, Cotton_Data_Upload!A:A, Cotton_Data_Upload!I:I, 0), 0)</f>
        <v>1624.52</v>
      </c>
      <c r="J17">
        <f>IF(E17&gt;0, E17 * _xlfn.XLOOKUP(A17, Cotton_Data_Upload!A:A, Cotton_Data_Upload!J:J, 0), 0)</f>
        <v>75.48</v>
      </c>
      <c r="K17" s="47">
        <f>IF(E17&gt;0, E17 * _xlfn.XLOOKUP(A17, Cotton_Data_Upload!A:A, Cotton_Data_Upload!K:K, 0), 0)</f>
        <v>0</v>
      </c>
      <c r="L17" s="34"/>
      <c r="M17" s="34"/>
    </row>
    <row r="18" spans="1:13" ht="13.5">
      <c r="A18" t="str">
        <v>SK2313006</v>
      </c>
      <c r="B18">
        <f t="shared" si="0"/>
        <v>4</v>
      </c>
      <c r="C18" s="34">
        <f>IF(A18&lt;&gt;"",_xlfn.XLOOKUP(A18,Cotton_Data_Upload!A:A,Cotton_Data_Upload!C:C),0)</f>
        <v>19.600000000000001</v>
      </c>
      <c r="D18" s="34">
        <f>IF(A18&lt;&gt;"",_xlfn.XLOOKUP(A18,Cotton_Data_Upload!A:A,Cotton_Data_Upload!D:D),0)</f>
        <v>43.5555555555556</v>
      </c>
      <c r="E18" s="27">
        <f>MIN(C18, MAX(0, $F$1 - SUM($E$11:E17)))</f>
        <v>19.600000000000001</v>
      </c>
      <c r="F18" s="45">
        <f>IF(E18&gt;0, E18 * IFERROR(_xlfn.XLOOKUP(A18, Cotton_Data_Upload!A:A, Cotton_Data_Upload!E:E), 0), 0)</f>
        <v>1097.6000000000001</v>
      </c>
      <c r="G18" s="34">
        <f>E18 * _xlfn.XLOOKUP(A18, Cotton_Data_Upload!A:A, Cotton_Data_Upload!H:H)</f>
        <v>1960.0000000000002</v>
      </c>
      <c r="H18" s="34">
        <f>E18 * _xlfn.XLOOKUP(A18, Cotton_Data_Upload!A:A, Cotton_Data_Upload!I:I)</f>
        <v>1960.0000000000002</v>
      </c>
      <c r="I18">
        <f>IF(E18&gt;0, E18 * _xlfn.XLOOKUP(A18, Cotton_Data_Upload!A:A, Cotton_Data_Upload!I:I, 0), 0)</f>
        <v>1960.0000000000002</v>
      </c>
      <c r="J18">
        <f>IF(E18&gt;0, E18 * _xlfn.XLOOKUP(A18, Cotton_Data_Upload!A:A, Cotton_Data_Upload!J:J, 0), 0)</f>
        <v>0</v>
      </c>
      <c r="K18" s="47">
        <f>IF(E18&gt;0, E18 * _xlfn.XLOOKUP(A18, Cotton_Data_Upload!A:A, Cotton_Data_Upload!K:K, 0), 0)</f>
        <v>0</v>
      </c>
      <c r="L18" s="34"/>
      <c r="M18" s="34"/>
    </row>
    <row r="19" spans="1:13" ht="13.5">
      <c r="A19" t="str">
        <v>SK2313145</v>
      </c>
      <c r="B19">
        <f t="shared" si="0"/>
        <v>4</v>
      </c>
      <c r="C19" s="34">
        <f>IF(A19&lt;&gt;"",_xlfn.XLOOKUP(A19,Cotton_Data_Upload!A:A,Cotton_Data_Upload!C:C),0)</f>
        <v>22.4</v>
      </c>
      <c r="D19" s="34">
        <f>IF(A19&lt;&gt;"",_xlfn.XLOOKUP(A19,Cotton_Data_Upload!A:A,Cotton_Data_Upload!D:D),0)</f>
        <v>49.7777777777778</v>
      </c>
      <c r="E19" s="27">
        <f>MIN(C19, MAX(0, $F$1 - SUM($E$11:E18)))</f>
        <v>22.4</v>
      </c>
      <c r="F19" s="45">
        <f>IF(E19&gt;0, E19 * IFERROR(_xlfn.XLOOKUP(A19, Cotton_Data_Upload!A:A, Cotton_Data_Upload!E:E), 0), 0)</f>
        <v>1254.3999999999999</v>
      </c>
      <c r="G19" s="34">
        <f>E19 * _xlfn.XLOOKUP(A19, Cotton_Data_Upload!A:A, Cotton_Data_Upload!H:H)</f>
        <v>2240</v>
      </c>
      <c r="H19" s="34">
        <f>E19 * _xlfn.XLOOKUP(A19, Cotton_Data_Upload!A:A, Cotton_Data_Upload!I:I)</f>
        <v>2184</v>
      </c>
      <c r="I19">
        <f>IF(E19&gt;0, E19 * _xlfn.XLOOKUP(A19, Cotton_Data_Upload!A:A, Cotton_Data_Upload!I:I, 0), 0)</f>
        <v>2184</v>
      </c>
      <c r="J19">
        <f>IF(E19&gt;0, E19 * _xlfn.XLOOKUP(A19, Cotton_Data_Upload!A:A, Cotton_Data_Upload!J:J, 0), 0)</f>
        <v>56</v>
      </c>
      <c r="K19" s="47">
        <f>IF(E19&gt;0, E19 * _xlfn.XLOOKUP(A19, Cotton_Data_Upload!A:A, Cotton_Data_Upload!K:K, 0), 0)</f>
        <v>0</v>
      </c>
      <c r="L19" s="34"/>
      <c r="M19" s="34"/>
    </row>
    <row r="20" spans="1:13" ht="13.5">
      <c r="A20" t="str">
        <v>SK2311878</v>
      </c>
      <c r="B20">
        <f t="shared" si="0"/>
        <v>4</v>
      </c>
      <c r="C20" s="34">
        <f>IF(A20&lt;&gt;"",_xlfn.XLOOKUP(A20,Cotton_Data_Upload!A:A,Cotton_Data_Upload!C:C),0)</f>
        <v>51</v>
      </c>
      <c r="D20" s="34">
        <f>IF(A20&lt;&gt;"",_xlfn.XLOOKUP(A20,Cotton_Data_Upload!A:A,Cotton_Data_Upload!D:D),0)</f>
        <v>113.333333333333</v>
      </c>
      <c r="E20" s="27">
        <f>MIN(C20, MAX(0, $F$1 - SUM($E$11:E19)))</f>
        <v>51</v>
      </c>
      <c r="F20" s="45">
        <f>IF(E20&gt;0, E20 * IFERROR(_xlfn.XLOOKUP(A20, Cotton_Data_Upload!A:A, Cotton_Data_Upload!E:E), 0), 0)</f>
        <v>4080</v>
      </c>
      <c r="G20" s="34">
        <f>E20 * _xlfn.XLOOKUP(A20, Cotton_Data_Upload!A:A, Cotton_Data_Upload!H:H)</f>
        <v>5100</v>
      </c>
      <c r="H20" s="34">
        <f>E20 * _xlfn.XLOOKUP(A20, Cotton_Data_Upload!A:A, Cotton_Data_Upload!I:I)</f>
        <v>5100</v>
      </c>
      <c r="I20">
        <f>IF(E20&gt;0, E20 * _xlfn.XLOOKUP(A20, Cotton_Data_Upload!A:A, Cotton_Data_Upload!I:I, 0), 0)</f>
        <v>5100</v>
      </c>
      <c r="J20">
        <f>IF(E20&gt;0, E20 * _xlfn.XLOOKUP(A20, Cotton_Data_Upload!A:A, Cotton_Data_Upload!J:J, 0), 0)</f>
        <v>0</v>
      </c>
      <c r="K20" s="47">
        <f>IF(E20&gt;0, E20 * _xlfn.XLOOKUP(A20, Cotton_Data_Upload!A:A, Cotton_Data_Upload!K:K, 0), 0)</f>
        <v>0</v>
      </c>
      <c r="L20" s="34"/>
      <c r="M20" s="34"/>
    </row>
    <row r="21" spans="1:13" ht="13.5">
      <c r="A21" t="str">
        <v>SK2311882</v>
      </c>
      <c r="B21">
        <f t="shared" si="0"/>
        <v>4</v>
      </c>
      <c r="C21" s="34">
        <f>IF(A21&lt;&gt;"",_xlfn.XLOOKUP(A21,Cotton_Data_Upload!A:A,Cotton_Data_Upload!C:C),0)</f>
        <v>50</v>
      </c>
      <c r="D21" s="34">
        <f>IF(A21&lt;&gt;"",_xlfn.XLOOKUP(A21,Cotton_Data_Upload!A:A,Cotton_Data_Upload!D:D),0)</f>
        <v>111.111111111111</v>
      </c>
      <c r="E21" s="27">
        <f>MIN(C21, MAX(0, $F$1 - SUM($E$11:E20)))</f>
        <v>50</v>
      </c>
      <c r="F21" s="45">
        <f>IF(E21&gt;0, E21 * IFERROR(_xlfn.XLOOKUP(A21, Cotton_Data_Upload!A:A, Cotton_Data_Upload!E:E), 0), 0)</f>
        <v>3800</v>
      </c>
      <c r="G21" s="34">
        <f>E21 * _xlfn.XLOOKUP(A21, Cotton_Data_Upload!A:A, Cotton_Data_Upload!H:H)</f>
        <v>4700</v>
      </c>
      <c r="H21" s="34">
        <f>E21 * _xlfn.XLOOKUP(A21, Cotton_Data_Upload!A:A, Cotton_Data_Upload!I:I)</f>
        <v>5000</v>
      </c>
      <c r="I21">
        <f>IF(E21&gt;0, E21 * _xlfn.XLOOKUP(A21, Cotton_Data_Upload!A:A, Cotton_Data_Upload!I:I, 0), 0)</f>
        <v>5000</v>
      </c>
      <c r="J21">
        <f>IF(E21&gt;0, E21 * _xlfn.XLOOKUP(A21, Cotton_Data_Upload!A:A, Cotton_Data_Upload!J:J, 0), 0)</f>
        <v>0</v>
      </c>
      <c r="K21" s="47">
        <f>IF(E21&gt;0, E21 * _xlfn.XLOOKUP(A21, Cotton_Data_Upload!A:A, Cotton_Data_Upload!K:K, 0), 0)</f>
        <v>0</v>
      </c>
      <c r="L21" s="34"/>
      <c r="M21" s="34"/>
    </row>
    <row r="22" spans="1:13" ht="13.5">
      <c r="A22" t="str">
        <v>SK2313144</v>
      </c>
      <c r="B22">
        <f t="shared" si="0"/>
        <v>4</v>
      </c>
      <c r="C22" s="34">
        <f>IF(A22&lt;&gt;"",_xlfn.XLOOKUP(A22,Cotton_Data_Upload!A:A,Cotton_Data_Upload!C:C),0)</f>
        <v>7.1</v>
      </c>
      <c r="D22" s="34">
        <f>IF(A22&lt;&gt;"",_xlfn.XLOOKUP(A22,Cotton_Data_Upload!A:A,Cotton_Data_Upload!D:D),0)</f>
        <v>15.7777777777778</v>
      </c>
      <c r="E22" s="27">
        <f>MIN(C22, MAX(0, $F$1 - SUM($E$11:E21)))</f>
        <v>7.1</v>
      </c>
      <c r="F22" s="45">
        <f>IF(E22&gt;0, E22 * IFERROR(_xlfn.XLOOKUP(A22, Cotton_Data_Upload!A:A, Cotton_Data_Upload!E:E), 0), 0)</f>
        <v>298.2</v>
      </c>
      <c r="G22" s="34">
        <f>E22 * _xlfn.XLOOKUP(A22, Cotton_Data_Upload!A:A, Cotton_Data_Upload!H:H)</f>
        <v>710</v>
      </c>
      <c r="H22" s="34">
        <f>E22 * _xlfn.XLOOKUP(A22, Cotton_Data_Upload!A:A, Cotton_Data_Upload!I:I)</f>
        <v>646.88099999999997</v>
      </c>
      <c r="I22">
        <f>IF(E22&gt;0, E22 * _xlfn.XLOOKUP(A22, Cotton_Data_Upload!A:A, Cotton_Data_Upload!I:I, 0), 0)</f>
        <v>646.88099999999997</v>
      </c>
      <c r="J22">
        <f>IF(E22&gt;0, E22 * _xlfn.XLOOKUP(A22, Cotton_Data_Upload!A:A, Cotton_Data_Upload!J:J, 0), 0)</f>
        <v>63.119</v>
      </c>
      <c r="K22" s="47">
        <f>IF(E22&gt;0, E22 * _xlfn.XLOOKUP(A22, Cotton_Data_Upload!A:A, Cotton_Data_Upload!K:K, 0), 0)</f>
        <v>0</v>
      </c>
      <c r="L22" s="34"/>
      <c r="M22" s="34"/>
    </row>
    <row r="23" spans="1:13" ht="13.5">
      <c r="A23" t="str">
        <v>SK2313004</v>
      </c>
      <c r="B23">
        <f t="shared" si="0"/>
        <v>4</v>
      </c>
      <c r="C23" s="34">
        <f>IF(A23&lt;&gt;"",_xlfn.XLOOKUP(A23,Cotton_Data_Upload!A:A,Cotton_Data_Upload!C:C),0)</f>
        <v>47</v>
      </c>
      <c r="D23" s="34">
        <f>IF(A23&lt;&gt;"",_xlfn.XLOOKUP(A23,Cotton_Data_Upload!A:A,Cotton_Data_Upload!D:D),0)</f>
        <v>104.444444444444</v>
      </c>
      <c r="E23" s="27">
        <f>MIN(C23, MAX(0, $F$1 - SUM($E$11:E22)))</f>
        <v>47</v>
      </c>
      <c r="F23" s="45">
        <f>IF(E23&gt;0, E23 * IFERROR(_xlfn.XLOOKUP(A23, Cotton_Data_Upload!A:A, Cotton_Data_Upload!E:E), 0), 0)</f>
        <v>2820</v>
      </c>
      <c r="G23" s="34">
        <f>E23 * _xlfn.XLOOKUP(A23, Cotton_Data_Upload!A:A, Cotton_Data_Upload!H:H)</f>
        <v>4606</v>
      </c>
      <c r="H23" s="34">
        <f>E23 * _xlfn.XLOOKUP(A23, Cotton_Data_Upload!A:A, Cotton_Data_Upload!I:I)</f>
        <v>4700</v>
      </c>
      <c r="I23">
        <f>IF(E23&gt;0, E23 * _xlfn.XLOOKUP(A23, Cotton_Data_Upload!A:A, Cotton_Data_Upload!I:I, 0), 0)</f>
        <v>4700</v>
      </c>
      <c r="J23">
        <f>IF(E23&gt;0, E23 * _xlfn.XLOOKUP(A23, Cotton_Data_Upload!A:A, Cotton_Data_Upload!J:J, 0), 0)</f>
        <v>0</v>
      </c>
      <c r="K23" s="47">
        <f>IF(E23&gt;0, E23 * _xlfn.XLOOKUP(A23, Cotton_Data_Upload!A:A, Cotton_Data_Upload!K:K, 0), 0)</f>
        <v>0</v>
      </c>
      <c r="L23" s="34"/>
      <c r="M23" s="34"/>
    </row>
    <row r="24" spans="1:13" ht="13.5">
      <c r="A24" t="str">
        <v>SK2316143</v>
      </c>
      <c r="B24">
        <f t="shared" si="0"/>
        <v>4</v>
      </c>
      <c r="C24" s="34">
        <f>IF(A24&lt;&gt;"",_xlfn.XLOOKUP(A24,Cotton_Data_Upload!A:A,Cotton_Data_Upload!C:C),0)</f>
        <v>78.900000000000006</v>
      </c>
      <c r="D24" s="34">
        <f>IF(A24&lt;&gt;"",_xlfn.XLOOKUP(A24,Cotton_Data_Upload!A:A,Cotton_Data_Upload!D:D),0)</f>
        <v>175.333333333333</v>
      </c>
      <c r="E24" s="27">
        <f>MIN(C24, MAX(0, $F$1 - SUM($E$11:E23)))</f>
        <v>78.900000000000006</v>
      </c>
      <c r="F24" s="45">
        <f>IF(E24&gt;0, E24 * IFERROR(_xlfn.XLOOKUP(A24, Cotton_Data_Upload!A:A, Cotton_Data_Upload!E:E), 0), 0)</f>
        <v>6233.1</v>
      </c>
      <c r="G24" s="34">
        <f>E24 * _xlfn.XLOOKUP(A24, Cotton_Data_Upload!A:A, Cotton_Data_Upload!H:H)</f>
        <v>7732.2000000000007</v>
      </c>
      <c r="H24" s="34">
        <f>E24 * _xlfn.XLOOKUP(A24, Cotton_Data_Upload!A:A, Cotton_Data_Upload!I:I)</f>
        <v>7890.0000000000009</v>
      </c>
      <c r="I24">
        <f>IF(E24&gt;0, E24 * _xlfn.XLOOKUP(A24, Cotton_Data_Upload!A:A, Cotton_Data_Upload!I:I, 0), 0)</f>
        <v>7890.0000000000009</v>
      </c>
      <c r="J24">
        <f>IF(E24&gt;0, E24 * _xlfn.XLOOKUP(A24, Cotton_Data_Upload!A:A, Cotton_Data_Upload!J:J, 0), 0)</f>
        <v>0</v>
      </c>
      <c r="K24" s="47">
        <f>IF(E24&gt;0, E24 * _xlfn.XLOOKUP(A24, Cotton_Data_Upload!A:A, Cotton_Data_Upload!K:K, 0), 0)</f>
        <v>0</v>
      </c>
      <c r="L24" s="34"/>
      <c r="M24" s="34"/>
    </row>
    <row r="25" spans="1:13" ht="13.5">
      <c r="A25" t="str">
        <v>SK2317249</v>
      </c>
      <c r="B25">
        <f t="shared" si="0"/>
        <v>4</v>
      </c>
      <c r="C25" s="34">
        <f>IF(A25&lt;&gt;"",_xlfn.XLOOKUP(A25,Cotton_Data_Upload!A:A,Cotton_Data_Upload!C:C),0)</f>
        <v>74.5</v>
      </c>
      <c r="D25" s="34">
        <f>IF(A25&lt;&gt;"",_xlfn.XLOOKUP(A25,Cotton_Data_Upload!A:A,Cotton_Data_Upload!D:D),0)</f>
        <v>165.555555555556</v>
      </c>
      <c r="E25" s="27">
        <f>MIN(C25, MAX(0, $F$1 - SUM($E$11:E24)))</f>
        <v>74.5</v>
      </c>
      <c r="F25" s="45">
        <f>IF(E25&gt;0, E25 * IFERROR(_xlfn.XLOOKUP(A25, Cotton_Data_Upload!A:A, Cotton_Data_Upload!E:E), 0), 0)</f>
        <v>5885.5</v>
      </c>
      <c r="G25" s="34">
        <f>E25 * _xlfn.XLOOKUP(A25, Cotton_Data_Upload!A:A, Cotton_Data_Upload!H:H)</f>
        <v>7450</v>
      </c>
      <c r="H25" s="34">
        <f>E25 * _xlfn.XLOOKUP(A25, Cotton_Data_Upload!A:A, Cotton_Data_Upload!I:I)</f>
        <v>7450</v>
      </c>
      <c r="I25">
        <f>IF(E25&gt;0, E25 * _xlfn.XLOOKUP(A25, Cotton_Data_Upload!A:A, Cotton_Data_Upload!I:I, 0), 0)</f>
        <v>7450</v>
      </c>
      <c r="J25">
        <f>IF(E25&gt;0, E25 * _xlfn.XLOOKUP(A25, Cotton_Data_Upload!A:A, Cotton_Data_Upload!J:J, 0), 0)</f>
        <v>0</v>
      </c>
      <c r="K25" s="47">
        <f>IF(E25&gt;0, E25 * _xlfn.XLOOKUP(A25, Cotton_Data_Upload!A:A, Cotton_Data_Upload!K:K, 0), 0)</f>
        <v>0</v>
      </c>
      <c r="L25" s="34"/>
      <c r="M25" s="34"/>
    </row>
    <row r="26" spans="1:13" ht="13.5">
      <c r="A26" t="str">
        <v>SK2313167</v>
      </c>
      <c r="B26">
        <f t="shared" si="0"/>
        <v>4</v>
      </c>
      <c r="C26" s="34">
        <f>IF(A26&lt;&gt;"",_xlfn.XLOOKUP(A26,Cotton_Data_Upload!A:A,Cotton_Data_Upload!C:C),0)</f>
        <v>27</v>
      </c>
      <c r="D26" s="34">
        <f>IF(A26&lt;&gt;"",_xlfn.XLOOKUP(A26,Cotton_Data_Upload!A:A,Cotton_Data_Upload!D:D),0)</f>
        <v>60</v>
      </c>
      <c r="E26" s="27">
        <f>MIN(C26, MAX(0, $F$1 - SUM($E$11:E25)))</f>
        <v>1.9000000000000909</v>
      </c>
      <c r="F26" s="45">
        <f>IF(E26&gt;0, E26 * IFERROR(_xlfn.XLOOKUP(A26, Cotton_Data_Upload!A:A, Cotton_Data_Upload!E:E), 0), 0)</f>
        <v>146.300000000007</v>
      </c>
      <c r="G26" s="34">
        <f>E26 * _xlfn.XLOOKUP(A26, Cotton_Data_Upload!A:A, Cotton_Data_Upload!H:H)</f>
        <v>190.00000000000909</v>
      </c>
      <c r="H26" s="34">
        <f>E26 * _xlfn.XLOOKUP(A26, Cotton_Data_Upload!A:A, Cotton_Data_Upload!I:I)</f>
        <v>190.00000000000909</v>
      </c>
      <c r="I26">
        <f>IF(E26&gt;0, E26 * _xlfn.XLOOKUP(A26, Cotton_Data_Upload!A:A, Cotton_Data_Upload!I:I, 0), 0)</f>
        <v>190.00000000000909</v>
      </c>
      <c r="J26">
        <f>IF(E26&gt;0, E26 * _xlfn.XLOOKUP(A26, Cotton_Data_Upload!A:A, Cotton_Data_Upload!J:J, 0), 0)</f>
        <v>0</v>
      </c>
      <c r="K26" s="47">
        <f>IF(E26&gt;0, E26 * _xlfn.XLOOKUP(A26, Cotton_Data_Upload!A:A, Cotton_Data_Upload!K:K, 0), 0)</f>
        <v>0</v>
      </c>
      <c r="L26" s="34"/>
      <c r="M26" s="34"/>
    </row>
    <row r="27" spans="1:13" ht="13.5">
      <c r="A27" t="str">
        <v>SK2313231</v>
      </c>
      <c r="B27">
        <f t="shared" si="0"/>
        <v>4</v>
      </c>
      <c r="C27" s="34">
        <f>IF(A27&lt;&gt;"",_xlfn.XLOOKUP(A27,Cotton_Data_Upload!A:A,Cotton_Data_Upload!C:C),0)</f>
        <v>88.8</v>
      </c>
      <c r="D27" s="34">
        <f>IF(A27&lt;&gt;"",_xlfn.XLOOKUP(A27,Cotton_Data_Upload!A:A,Cotton_Data_Upload!D:D),0)</f>
        <v>197.333333333333</v>
      </c>
      <c r="E27" s="27">
        <f>MIN(C27, MAX(0, $F$1 - SUM($E$11:E26)))</f>
        <v>0</v>
      </c>
      <c r="F27" s="45">
        <f>IF(E27&gt;0, E27 * IFERROR(_xlfn.XLOOKUP(A27, Cotton_Data_Upload!A:A, Cotton_Data_Upload!E:E), 0), 0)</f>
        <v>0</v>
      </c>
      <c r="G27" s="34">
        <f>E27 * _xlfn.XLOOKUP(A27, Cotton_Data_Upload!A:A, Cotton_Data_Upload!H:H)</f>
        <v>0</v>
      </c>
      <c r="H27" s="34">
        <f>E27 * _xlfn.XLOOKUP(A27, Cotton_Data_Upload!A:A, Cotton_Data_Upload!I:I)</f>
        <v>0</v>
      </c>
      <c r="I27">
        <f>IF(E27&gt;0, E27 * _xlfn.XLOOKUP(A27, Cotton_Data_Upload!A:A, Cotton_Data_Upload!I:I, 0), 0)</f>
        <v>0</v>
      </c>
      <c r="J27">
        <f>IF(E27&gt;0, E27 * _xlfn.XLOOKUP(A27, Cotton_Data_Upload!A:A, Cotton_Data_Upload!J:J, 0), 0)</f>
        <v>0</v>
      </c>
      <c r="K27" s="47">
        <f>IF(E27&gt;0, E27 * _xlfn.XLOOKUP(A27, Cotton_Data_Upload!A:A, Cotton_Data_Upload!K:K, 0), 0)</f>
        <v>0</v>
      </c>
      <c r="L27" s="34"/>
      <c r="M27" s="34"/>
    </row>
    <row r="28" spans="1:13" ht="13.5">
      <c r="A28" t="str">
        <v>SK2313247</v>
      </c>
      <c r="B28">
        <f t="shared" si="0"/>
        <v>4</v>
      </c>
      <c r="C28" s="34">
        <f>IF(A28&lt;&gt;"",_xlfn.XLOOKUP(A28,Cotton_Data_Upload!A:A,Cotton_Data_Upload!C:C),0)</f>
        <v>20.7</v>
      </c>
      <c r="D28" s="34">
        <f>IF(A28&lt;&gt;"",_xlfn.XLOOKUP(A28,Cotton_Data_Upload!A:A,Cotton_Data_Upload!D:D),0)</f>
        <v>46</v>
      </c>
      <c r="E28" s="27">
        <f>MIN(C28, MAX(0, $F$1 - SUM($E$11:E27)))</f>
        <v>0</v>
      </c>
      <c r="F28" s="45">
        <f>IF(E28&gt;0, E28 * IFERROR(_xlfn.XLOOKUP(A28, Cotton_Data_Upload!A:A, Cotton_Data_Upload!E:E), 0), 0)</f>
        <v>0</v>
      </c>
      <c r="G28" s="34">
        <f>E28 * _xlfn.XLOOKUP(A28, Cotton_Data_Upload!A:A, Cotton_Data_Upload!H:H)</f>
        <v>0</v>
      </c>
      <c r="H28" s="34">
        <f>E28 * _xlfn.XLOOKUP(A28, Cotton_Data_Upload!A:A, Cotton_Data_Upload!I:I)</f>
        <v>0</v>
      </c>
      <c r="I28">
        <f>IF(E28&gt;0, E28 * _xlfn.XLOOKUP(A28, Cotton_Data_Upload!A:A, Cotton_Data_Upload!I:I, 0), 0)</f>
        <v>0</v>
      </c>
      <c r="J28">
        <f>IF(E28&gt;0, E28 * _xlfn.XLOOKUP(A28, Cotton_Data_Upload!A:A, Cotton_Data_Upload!J:J, 0), 0)</f>
        <v>0</v>
      </c>
      <c r="K28" s="47">
        <f>IF(E28&gt;0, E28 * _xlfn.XLOOKUP(A28, Cotton_Data_Upload!A:A, Cotton_Data_Upload!K:K, 0), 0)</f>
        <v>0</v>
      </c>
      <c r="L28" s="34"/>
      <c r="M28" s="34"/>
    </row>
    <row r="29" spans="1:13" ht="13.5">
      <c r="A29" t="str">
        <v>SK2313168</v>
      </c>
      <c r="B29">
        <f t="shared" si="0"/>
        <v>4</v>
      </c>
      <c r="C29" s="34">
        <f>IF(A29&lt;&gt;"",_xlfn.XLOOKUP(A29,Cotton_Data_Upload!A:A,Cotton_Data_Upload!C:C),0)</f>
        <v>3.3</v>
      </c>
      <c r="D29" s="34">
        <f>IF(A29&lt;&gt;"",_xlfn.XLOOKUP(A29,Cotton_Data_Upload!A:A,Cotton_Data_Upload!D:D),0)</f>
        <v>7.3333333333333304</v>
      </c>
      <c r="E29" s="27">
        <f>MIN(C29, MAX(0, $F$1 - SUM($E$11:E28)))</f>
        <v>0</v>
      </c>
      <c r="F29" s="45">
        <f>IF(E29&gt;0, E29 * IFERROR(_xlfn.XLOOKUP(A29, Cotton_Data_Upload!A:A, Cotton_Data_Upload!E:E), 0), 0)</f>
        <v>0</v>
      </c>
      <c r="G29" s="34">
        <f>E29 * _xlfn.XLOOKUP(A29, Cotton_Data_Upload!A:A, Cotton_Data_Upload!H:H)</f>
        <v>0</v>
      </c>
      <c r="H29" s="34">
        <f>E29 * _xlfn.XLOOKUP(A29, Cotton_Data_Upload!A:A, Cotton_Data_Upload!I:I)</f>
        <v>0</v>
      </c>
      <c r="I29">
        <f>IF(E29&gt;0, E29 * _xlfn.XLOOKUP(A29, Cotton_Data_Upload!A:A, Cotton_Data_Upload!I:I, 0), 0)</f>
        <v>0</v>
      </c>
      <c r="J29">
        <f>IF(E29&gt;0, E29 * _xlfn.XLOOKUP(A29, Cotton_Data_Upload!A:A, Cotton_Data_Upload!J:J, 0), 0)</f>
        <v>0</v>
      </c>
      <c r="K29" s="47">
        <f>IF(E29&gt;0, E29 * _xlfn.XLOOKUP(A29, Cotton_Data_Upload!A:A, Cotton_Data_Upload!K:K, 0), 0)</f>
        <v>0</v>
      </c>
      <c r="L29" s="34"/>
      <c r="M29" s="34"/>
    </row>
    <row r="30" spans="1:13" ht="13.5">
      <c r="A30" t="str">
        <v>SK2313235</v>
      </c>
      <c r="B30">
        <f t="shared" si="0"/>
        <v>4</v>
      </c>
      <c r="C30" s="34">
        <f>IF(A30&lt;&gt;"",_xlfn.XLOOKUP(A30,Cotton_Data_Upload!A:A,Cotton_Data_Upload!C:C),0)</f>
        <v>6.9</v>
      </c>
      <c r="D30" s="34">
        <f>IF(A30&lt;&gt;"",_xlfn.XLOOKUP(A30,Cotton_Data_Upload!A:A,Cotton_Data_Upload!D:D),0)</f>
        <v>15.3333333333333</v>
      </c>
      <c r="E30" s="27">
        <f>MIN(C30, MAX(0, $F$1 - SUM($E$11:E29)))</f>
        <v>0</v>
      </c>
      <c r="F30" s="45">
        <f>IF(E30&gt;0, E30 * IFERROR(_xlfn.XLOOKUP(A30, Cotton_Data_Upload!A:A, Cotton_Data_Upload!E:E), 0), 0)</f>
        <v>0</v>
      </c>
      <c r="G30" s="34">
        <f>E30 * _xlfn.XLOOKUP(A30, Cotton_Data_Upload!A:A, Cotton_Data_Upload!H:H)</f>
        <v>0</v>
      </c>
      <c r="H30" s="34">
        <f>E30 * _xlfn.XLOOKUP(A30, Cotton_Data_Upload!A:A, Cotton_Data_Upload!I:I)</f>
        <v>0</v>
      </c>
      <c r="I30">
        <f>IF(E30&gt;0, E30 * _xlfn.XLOOKUP(A30, Cotton_Data_Upload!A:A, Cotton_Data_Upload!I:I, 0), 0)</f>
        <v>0</v>
      </c>
      <c r="J30">
        <f>IF(E30&gt;0, E30 * _xlfn.XLOOKUP(A30, Cotton_Data_Upload!A:A, Cotton_Data_Upload!J:J, 0), 0)</f>
        <v>0</v>
      </c>
      <c r="K30" s="47">
        <f>IF(E30&gt;0, E30 * _xlfn.XLOOKUP(A30, Cotton_Data_Upload!A:A, Cotton_Data_Upload!K:K, 0), 0)</f>
        <v>0</v>
      </c>
      <c r="L30" s="34"/>
      <c r="M30" s="34"/>
    </row>
    <row r="31" spans="1:13" ht="13.5">
      <c r="A31" t="str">
        <v>SK2313237</v>
      </c>
      <c r="B31">
        <f t="shared" si="0"/>
        <v>4</v>
      </c>
      <c r="C31" s="34">
        <f>IF(A31&lt;&gt;"",_xlfn.XLOOKUP(A31,Cotton_Data_Upload!A:A,Cotton_Data_Upload!C:C),0)</f>
        <v>26.4</v>
      </c>
      <c r="D31" s="34">
        <f>IF(A31&lt;&gt;"",_xlfn.XLOOKUP(A31,Cotton_Data_Upload!A:A,Cotton_Data_Upload!D:D),0)</f>
        <v>58.6666666666667</v>
      </c>
      <c r="E31" s="27">
        <f>MIN(C31, MAX(0, $F$1 - SUM($E$11:E30)))</f>
        <v>0</v>
      </c>
      <c r="F31" s="45">
        <f>IF(E31&gt;0, E31 * IFERROR(_xlfn.XLOOKUP(A31, Cotton_Data_Upload!A:A, Cotton_Data_Upload!E:E), 0), 0)</f>
        <v>0</v>
      </c>
      <c r="G31" s="34">
        <f>E31 * _xlfn.XLOOKUP(A31, Cotton_Data_Upload!A:A, Cotton_Data_Upload!H:H)</f>
        <v>0</v>
      </c>
      <c r="H31" s="34">
        <f>E31 * _xlfn.XLOOKUP(A31, Cotton_Data_Upload!A:A, Cotton_Data_Upload!I:I)</f>
        <v>0</v>
      </c>
      <c r="I31">
        <f>IF(E31&gt;0, E31 * _xlfn.XLOOKUP(A31, Cotton_Data_Upload!A:A, Cotton_Data_Upload!I:I, 0), 0)</f>
        <v>0</v>
      </c>
      <c r="J31">
        <f>IF(E31&gt;0, E31 * _xlfn.XLOOKUP(A31, Cotton_Data_Upload!A:A, Cotton_Data_Upload!J:J, 0), 0)</f>
        <v>0</v>
      </c>
      <c r="K31" s="47">
        <f>IF(E31&gt;0, E31 * _xlfn.XLOOKUP(A31, Cotton_Data_Upload!A:A, Cotton_Data_Upload!K:K, 0), 0)</f>
        <v>0</v>
      </c>
      <c r="L31" s="34"/>
      <c r="M31" s="34"/>
    </row>
    <row r="32" spans="1:13" ht="13.5">
      <c r="A32" t="str">
        <v>SK2313246</v>
      </c>
      <c r="B32">
        <f t="shared" si="0"/>
        <v>4</v>
      </c>
      <c r="C32" s="34">
        <f>IF(A32&lt;&gt;"",_xlfn.XLOOKUP(A32,Cotton_Data_Upload!A:A,Cotton_Data_Upload!C:C),0)</f>
        <v>15.8</v>
      </c>
      <c r="D32" s="34">
        <f>IF(A32&lt;&gt;"",_xlfn.XLOOKUP(A32,Cotton_Data_Upload!A:A,Cotton_Data_Upload!D:D),0)</f>
        <v>35.1111111111111</v>
      </c>
      <c r="E32" s="27">
        <f>MIN(C32, MAX(0, $F$1 - SUM($E$11:E31)))</f>
        <v>0</v>
      </c>
      <c r="F32" s="45">
        <f>IF(E32&gt;0, E32 * IFERROR(_xlfn.XLOOKUP(A32, Cotton_Data_Upload!A:A, Cotton_Data_Upload!E:E), 0), 0)</f>
        <v>0</v>
      </c>
      <c r="G32" s="34">
        <f>E32 * _xlfn.XLOOKUP(A32, Cotton_Data_Upload!A:A, Cotton_Data_Upload!H:H)</f>
        <v>0</v>
      </c>
      <c r="H32" s="34">
        <f>E32 * _xlfn.XLOOKUP(A32, Cotton_Data_Upload!A:A, Cotton_Data_Upload!I:I)</f>
        <v>0</v>
      </c>
      <c r="I32">
        <f>IF(E32&gt;0, E32 * _xlfn.XLOOKUP(A32, Cotton_Data_Upload!A:A, Cotton_Data_Upload!I:I, 0), 0)</f>
        <v>0</v>
      </c>
      <c r="J32">
        <f>IF(E32&gt;0, E32 * _xlfn.XLOOKUP(A32, Cotton_Data_Upload!A:A, Cotton_Data_Upload!J:J, 0), 0)</f>
        <v>0</v>
      </c>
      <c r="K32" s="47">
        <f>IF(E32&gt;0, E32 * _xlfn.XLOOKUP(A32, Cotton_Data_Upload!A:A, Cotton_Data_Upload!K:K, 0), 0)</f>
        <v>0</v>
      </c>
      <c r="L32" s="34"/>
      <c r="M32" s="34"/>
    </row>
    <row r="33" spans="1:13" ht="13.5">
      <c r="A33" t="str">
        <v>SK2311836</v>
      </c>
      <c r="B33">
        <f t="shared" si="0"/>
        <v>4</v>
      </c>
      <c r="C33" s="34">
        <f>IF(A33&lt;&gt;"",_xlfn.XLOOKUP(A33,Cotton_Data_Upload!A:A,Cotton_Data_Upload!C:C),0)</f>
        <v>27.8</v>
      </c>
      <c r="D33" s="34">
        <f>IF(A33&lt;&gt;"",_xlfn.XLOOKUP(A33,Cotton_Data_Upload!A:A,Cotton_Data_Upload!D:D),0)</f>
        <v>61.7777777777778</v>
      </c>
      <c r="E33" s="27">
        <f>MIN(C33, MAX(0, $F$1 - SUM($E$11:E32)))</f>
        <v>0</v>
      </c>
      <c r="F33" s="45">
        <f>IF(E33&gt;0, E33 * IFERROR(_xlfn.XLOOKUP(A33, Cotton_Data_Upload!A:A, Cotton_Data_Upload!E:E), 0), 0)</f>
        <v>0</v>
      </c>
      <c r="G33" s="34">
        <f>E33 * _xlfn.XLOOKUP(A33, Cotton_Data_Upload!A:A, Cotton_Data_Upload!H:H)</f>
        <v>0</v>
      </c>
      <c r="H33" s="34">
        <f>E33 * _xlfn.XLOOKUP(A33, Cotton_Data_Upload!A:A, Cotton_Data_Upload!I:I)</f>
        <v>0</v>
      </c>
      <c r="I33">
        <f>IF(E33&gt;0, E33 * _xlfn.XLOOKUP(A33, Cotton_Data_Upload!A:A, Cotton_Data_Upload!I:I, 0), 0)</f>
        <v>0</v>
      </c>
      <c r="J33">
        <f>IF(E33&gt;0, E33 * _xlfn.XLOOKUP(A33, Cotton_Data_Upload!A:A, Cotton_Data_Upload!J:J, 0), 0)</f>
        <v>0</v>
      </c>
      <c r="K33" s="47">
        <f>IF(E33&gt;0, E33 * _xlfn.XLOOKUP(A33, Cotton_Data_Upload!A:A, Cotton_Data_Upload!K:K, 0), 0)</f>
        <v>0</v>
      </c>
      <c r="L33" s="34"/>
      <c r="M33" s="34"/>
    </row>
    <row r="34" spans="1:13" ht="13.5">
      <c r="A34" t="str">
        <v>SK2313379</v>
      </c>
      <c r="B34">
        <f t="shared" si="0"/>
        <v>4</v>
      </c>
      <c r="C34" s="34">
        <f>IF(A34&lt;&gt;"",_xlfn.XLOOKUP(A34,Cotton_Data_Upload!A:A,Cotton_Data_Upload!C:C),0)</f>
        <v>10.9</v>
      </c>
      <c r="D34" s="34">
        <f>IF(A34&lt;&gt;"",_xlfn.XLOOKUP(A34,Cotton_Data_Upload!A:A,Cotton_Data_Upload!D:D),0)</f>
        <v>24.2222222222222</v>
      </c>
      <c r="E34" s="27">
        <f>MIN(C34, MAX(0, $F$1 - SUM($E$11:E33)))</f>
        <v>0</v>
      </c>
      <c r="F34" s="45">
        <f>IF(E34&gt;0, E34 * IFERROR(_xlfn.XLOOKUP(A34, Cotton_Data_Upload!A:A, Cotton_Data_Upload!E:E), 0), 0)</f>
        <v>0</v>
      </c>
      <c r="G34" s="34">
        <f>E34 * _xlfn.XLOOKUP(A34, Cotton_Data_Upload!A:A, Cotton_Data_Upload!H:H)</f>
        <v>0</v>
      </c>
      <c r="H34" s="34">
        <f>E34 * _xlfn.XLOOKUP(A34, Cotton_Data_Upload!A:A, Cotton_Data_Upload!I:I)</f>
        <v>0</v>
      </c>
      <c r="I34">
        <f>IF(E34&gt;0, E34 * _xlfn.XLOOKUP(A34, Cotton_Data_Upload!A:A, Cotton_Data_Upload!I:I, 0), 0)</f>
        <v>0</v>
      </c>
      <c r="J34">
        <f>IF(E34&gt;0, E34 * _xlfn.XLOOKUP(A34, Cotton_Data_Upload!A:A, Cotton_Data_Upload!J:J, 0), 0)</f>
        <v>0</v>
      </c>
      <c r="K34" s="47">
        <f>IF(E34&gt;0, E34 * _xlfn.XLOOKUP(A34, Cotton_Data_Upload!A:A, Cotton_Data_Upload!K:K, 0), 0)</f>
        <v>0</v>
      </c>
      <c r="L34" s="34"/>
      <c r="M34" s="34"/>
    </row>
    <row r="35" spans="1:13">
      <c r="C35" s="34"/>
      <c r="D35" s="34"/>
      <c r="E35" s="34"/>
      <c r="F35" s="25"/>
      <c r="G35" s="34"/>
      <c r="H35" s="34"/>
      <c r="I35" s="34"/>
      <c r="J35" s="34"/>
      <c r="K35" s="34"/>
      <c r="L35" s="34"/>
      <c r="M35" s="34"/>
    </row>
    <row r="36" spans="1:13" ht="13.5">
      <c r="F36" s="26"/>
      <c r="L36" s="34" t="str">
        <f>IF(A36="", "",
  IF(AND(E36&gt;=Cotton_Settings!$B$2, G36&gt;=Cotton_Settings!$B$3, H36&gt;=Cotton_Settings!$B$4, I36&gt;=Cotton_Settings!$B$5, J36&lt;=Cotton_Settings!$C$6, K36&lt;=1), "Priority 1",
  IF(AND(E36&gt;=Cotton_Settings!$D$2, G36&gt;=Cotton_Settings!$D$3, H36&gt;=Cotton_Settings!$D$4, I36&gt;=Cotton_Settings!$D$5, J36&lt;=Cotton_Settings!$D$6, K36&lt;=3), "Priority 2", "Flagged/Reject")))</f>
        <v/>
      </c>
    </row>
    <row r="37" spans="1:13" ht="13.5">
      <c r="F37" s="26"/>
      <c r="L37" s="34" t="str">
        <f>IF(A37="", "",
  IF(AND(E37&gt;=Cotton_Settings!$B$2, G37&gt;=Cotton_Settings!$B$3, H37&gt;=Cotton_Settings!$B$4, I37&gt;=Cotton_Settings!$B$5, J37&lt;=Cotton_Settings!$C$6, K37&lt;=1), "Priority 1",
  IF(AND(E37&gt;=Cotton_Settings!$D$2, G37&gt;=Cotton_Settings!$D$3, H37&gt;=Cotton_Settings!$D$4, I37&gt;=Cotton_Settings!$D$5, J37&lt;=Cotton_Settings!$D$6, K37&lt;=3), "Priority 2", "Flagged/Reject")))</f>
        <v/>
      </c>
    </row>
    <row r="38" spans="1:13" ht="13.5">
      <c r="F38" s="26"/>
      <c r="L38" s="34" t="str">
        <f>IF(A38="", "",
  IF(AND(E38&gt;=Cotton_Settings!$B$2, G38&gt;=Cotton_Settings!$B$3, H38&gt;=Cotton_Settings!$B$4, I38&gt;=Cotton_Settings!$B$5, J38&lt;=Cotton_Settings!$C$6, K38&lt;=1), "Priority 1",
  IF(AND(E38&gt;=Cotton_Settings!$D$2, G38&gt;=Cotton_Settings!$D$3, H38&gt;=Cotton_Settings!$D$4, I38&gt;=Cotton_Settings!$D$5, J38&lt;=Cotton_Settings!$D$6, K38&lt;=3), "Priority 2", "Flagged/Reject")))</f>
        <v/>
      </c>
    </row>
    <row r="39" spans="1:13" ht="13.5">
      <c r="F39" s="26"/>
      <c r="L39" s="34" t="str">
        <f>IF(A39="", "",
  IF(AND(E39&gt;=Cotton_Settings!$B$2, G39&gt;=Cotton_Settings!$B$3, H39&gt;=Cotton_Settings!$B$4, I39&gt;=Cotton_Settings!$B$5, J39&lt;=Cotton_Settings!$C$6, K39&lt;=1), "Priority 1",
  IF(AND(E39&gt;=Cotton_Settings!$D$2, G39&gt;=Cotton_Settings!$D$3, H39&gt;=Cotton_Settings!$D$4, I39&gt;=Cotton_Settings!$D$5, J39&lt;=Cotton_Settings!$D$6, K39&lt;=3), "Priority 2", "Flagged/Reject")))</f>
        <v/>
      </c>
    </row>
    <row r="40" spans="1:13" ht="13.5">
      <c r="F40" s="26"/>
      <c r="L40" s="34" t="str">
        <f>IF(A40="", "",
  IF(AND(E40&gt;=Cotton_Settings!$B$2, G40&gt;=Cotton_Settings!$B$3, H40&gt;=Cotton_Settings!$B$4, I40&gt;=Cotton_Settings!$B$5, J40&lt;=Cotton_Settings!$C$6, K40&lt;=1), "Priority 1",
  IF(AND(E40&gt;=Cotton_Settings!$D$2, G40&gt;=Cotton_Settings!$D$3, H40&gt;=Cotton_Settings!$D$4, I40&gt;=Cotton_Settings!$D$5, J40&lt;=Cotton_Settings!$D$6, K40&lt;=3), "Priority 2", "Flagged/Reject")))</f>
        <v/>
      </c>
    </row>
    <row r="41" spans="1:13" ht="13.5">
      <c r="F41" s="26"/>
      <c r="L41" s="34" t="str">
        <f>IF(A41="", "",
  IF(AND(E41&gt;=Cotton_Settings!$B$2, G41&gt;=Cotton_Settings!$B$3, H41&gt;=Cotton_Settings!$B$4, I41&gt;=Cotton_Settings!$B$5, J41&lt;=Cotton_Settings!$C$6, K41&lt;=1), "Priority 1",
  IF(AND(E41&gt;=Cotton_Settings!$D$2, G41&gt;=Cotton_Settings!$D$3, H41&gt;=Cotton_Settings!$D$4, I41&gt;=Cotton_Settings!$D$5, J41&lt;=Cotton_Settings!$D$6, K41&lt;=3), "Priority 2", "Flagged/Reject")))</f>
        <v/>
      </c>
    </row>
    <row r="42" spans="1:13" ht="13.5">
      <c r="L42" s="34" t="str">
        <f>IF(A42="", "",
  IF(AND(E42&gt;=Cotton_Settings!$B$2, G42&gt;=Cotton_Settings!$B$3, H42&gt;=Cotton_Settings!$B$4, I42&gt;=Cotton_Settings!$B$5, J42&lt;=Cotton_Settings!$C$6, K42&lt;=1), "Priority 1",
  IF(AND(E42&gt;=Cotton_Settings!$D$2, G42&gt;=Cotton_Settings!$D$3, H42&gt;=Cotton_Settings!$D$4, I42&gt;=Cotton_Settings!$D$5, J42&lt;=Cotton_Settings!$D$6, K42&lt;=3), "Priority 2", "Flagged/Reject")))</f>
        <v/>
      </c>
    </row>
    <row r="43" spans="1:13" ht="13.5">
      <c r="L43" s="34" t="str">
        <f>IF(A43="", "",
  IF(AND(E43&gt;=Cotton_Settings!$B$2, G43&gt;=Cotton_Settings!$B$3, H43&gt;=Cotton_Settings!$B$4, I43&gt;=Cotton_Settings!$B$5, J43&lt;=Cotton_Settings!$C$6, K43&lt;=1), "Priority 1",
  IF(AND(E43&gt;=Cotton_Settings!$D$2, G43&gt;=Cotton_Settings!$D$3, H43&gt;=Cotton_Settings!$D$4, I43&gt;=Cotton_Settings!$D$5, J43&lt;=Cotton_Settings!$D$6, K43&lt;=3), "Priority 2", "Flagged/Reject")))</f>
        <v/>
      </c>
    </row>
    <row r="44" spans="1:13" ht="13.5">
      <c r="L44" s="34" t="str">
        <f>IF(A44="", "",
  IF(AND(E44&gt;=Cotton_Settings!$B$2, G44&gt;=Cotton_Settings!$B$3, H44&gt;=Cotton_Settings!$B$4, I44&gt;=Cotton_Settings!$B$5, J44&lt;=Cotton_Settings!$C$6, K44&lt;=1), "Priority 1",
  IF(AND(E44&gt;=Cotton_Settings!$D$2, G44&gt;=Cotton_Settings!$D$3, H44&gt;=Cotton_Settings!$D$4, I44&gt;=Cotton_Settings!$D$5, J44&lt;=Cotton_Settings!$D$6, K44&lt;=3), "Priority 2", "Flagged/Reject")))</f>
        <v/>
      </c>
    </row>
    <row r="45" spans="1:13" ht="13.5">
      <c r="L45" s="34" t="str">
        <f>IF(A45="", "",
  IF(AND(E45&gt;=Cotton_Settings!$B$2, G45&gt;=Cotton_Settings!$B$3, H45&gt;=Cotton_Settings!$B$4, I45&gt;=Cotton_Settings!$B$5, J45&lt;=Cotton_Settings!$C$6, K45&lt;=1), "Priority 1",
  IF(AND(E45&gt;=Cotton_Settings!$D$2, G45&gt;=Cotton_Settings!$D$3, H45&gt;=Cotton_Settings!$D$4, I45&gt;=Cotton_Settings!$D$5, J45&lt;=Cotton_Settings!$D$6, K45&lt;=3), "Priority 2", "Flagged/Reject")))</f>
        <v/>
      </c>
    </row>
    <row r="46" spans="1:13" ht="13.5">
      <c r="L46" s="34" t="str">
        <f>IF(A46="", "",
  IF(AND(E46&gt;=Cotton_Settings!$B$2, G46&gt;=Cotton_Settings!$B$3, H46&gt;=Cotton_Settings!$B$4, I46&gt;=Cotton_Settings!$B$5, J46&lt;=Cotton_Settings!$C$6, K46&lt;=1), "Priority 1",
  IF(AND(E46&gt;=Cotton_Settings!$D$2, G46&gt;=Cotton_Settings!$D$3, H46&gt;=Cotton_Settings!$D$4, I46&gt;=Cotton_Settings!$D$5, J46&lt;=Cotton_Settings!$D$6, K46&lt;=3), "Priority 2", "Flagged/Reject")))</f>
        <v/>
      </c>
    </row>
    <row r="47" spans="1:13" ht="13.5">
      <c r="L47" s="34" t="str">
        <f>IF(A47="", "",
  IF(AND(E47&gt;=Cotton_Settings!$B$2, G47&gt;=Cotton_Settings!$B$3, H47&gt;=Cotton_Settings!$B$4, I47&gt;=Cotton_Settings!$B$5, J47&lt;=Cotton_Settings!$C$6, K47&lt;=1), "Priority 1",
  IF(AND(E47&gt;=Cotton_Settings!$D$2, G47&gt;=Cotton_Settings!$D$3, H47&gt;=Cotton_Settings!$D$4, I47&gt;=Cotton_Settings!$D$5, J47&lt;=Cotton_Settings!$D$6, K47&lt;=3), "Priority 2", "Flagged/Reject")))</f>
        <v/>
      </c>
    </row>
    <row r="48" spans="1:13" ht="13.5">
      <c r="L48" s="34" t="str">
        <f>IF(A48="", "",
  IF(AND(E48&gt;=Cotton_Settings!$B$2, G48&gt;=Cotton_Settings!$B$3, H48&gt;=Cotton_Settings!$B$4, I48&gt;=Cotton_Settings!$B$5, J48&lt;=Cotton_Settings!$C$6, K48&lt;=1), "Priority 1",
  IF(AND(E48&gt;=Cotton_Settings!$D$2, G48&gt;=Cotton_Settings!$D$3, H48&gt;=Cotton_Settings!$D$4, I48&gt;=Cotton_Settings!$D$5, J48&lt;=Cotton_Settings!$D$6, K48&lt;=3), "Priority 2", "Flagged/Reject")))</f>
        <v/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Cotton_Settings!$F$2:$F$20</xm:f>
          </x14:formula1>
          <xm:sqref>B2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V41"/>
  <sheetViews>
    <sheetView zoomScale="70" zoomScaleNormal="70" workbookViewId="0">
      <selection activeCell="K20" sqref="K20"/>
    </sheetView>
  </sheetViews>
  <sheetFormatPr defaultColWidth="8.75" defaultRowHeight="14.45"/>
  <cols>
    <col min="6" max="6" width="9.875"/>
    <col min="12" max="13" width="18.125" customWidth="1"/>
    <col min="14" max="15" width="18.375" customWidth="1"/>
    <col min="16" max="16" width="15.5" customWidth="1"/>
    <col min="17" max="17" width="16.25" customWidth="1"/>
    <col min="18" max="18" width="15.5" customWidth="1"/>
  </cols>
  <sheetData>
    <row r="2" spans="1:22">
      <c r="L2" s="34"/>
      <c r="M2" s="34"/>
      <c r="N2" s="39"/>
      <c r="O2" s="39"/>
      <c r="P2" s="39"/>
      <c r="Q2" s="39"/>
      <c r="R2" s="34"/>
      <c r="S2" s="34"/>
      <c r="T2" s="34"/>
      <c r="U2" s="34"/>
      <c r="V2" s="34"/>
    </row>
    <row r="3" spans="1:22" ht="29.1">
      <c r="A3" s="2" t="s">
        <v>100</v>
      </c>
      <c r="B3" s="3" t="s">
        <v>101</v>
      </c>
      <c r="C3" s="2" t="s">
        <v>102</v>
      </c>
      <c r="D3" s="2" t="s">
        <v>103</v>
      </c>
      <c r="E3" s="2" t="s">
        <v>15</v>
      </c>
      <c r="F3" s="4" t="s">
        <v>25</v>
      </c>
      <c r="G3" s="2" t="s">
        <v>110</v>
      </c>
      <c r="H3" s="2" t="s">
        <v>111</v>
      </c>
      <c r="I3" s="2" t="s">
        <v>13</v>
      </c>
      <c r="J3" s="2" t="s">
        <v>112</v>
      </c>
      <c r="K3" s="2" t="s">
        <v>113</v>
      </c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</row>
    <row r="4" spans="1:22">
      <c r="A4" s="5" t="s">
        <v>114</v>
      </c>
      <c r="B4" s="5">
        <v>4</v>
      </c>
      <c r="C4" s="5">
        <v>21.5</v>
      </c>
      <c r="D4" s="6">
        <v>47.7777777777778</v>
      </c>
      <c r="E4" s="5">
        <v>87</v>
      </c>
      <c r="F4" s="7">
        <v>45329</v>
      </c>
      <c r="G4" s="5">
        <v>100</v>
      </c>
      <c r="H4" s="5">
        <v>98</v>
      </c>
      <c r="I4" s="5">
        <v>100</v>
      </c>
      <c r="J4" s="5">
        <v>0</v>
      </c>
      <c r="K4" s="5">
        <v>0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2">
      <c r="A5" s="5" t="s">
        <v>115</v>
      </c>
      <c r="B5" s="5">
        <v>4</v>
      </c>
      <c r="C5" s="5">
        <v>110.5</v>
      </c>
      <c r="D5" s="6">
        <v>245.555555555556</v>
      </c>
      <c r="E5" s="5">
        <v>87</v>
      </c>
      <c r="F5" s="7">
        <v>45328</v>
      </c>
      <c r="G5" s="5">
        <v>100</v>
      </c>
      <c r="H5" s="5">
        <v>98</v>
      </c>
      <c r="I5" s="5">
        <v>97.37</v>
      </c>
      <c r="J5" s="5">
        <v>2.63</v>
      </c>
      <c r="K5" s="5">
        <v>0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spans="1:22">
      <c r="A6" s="5" t="s">
        <v>116</v>
      </c>
      <c r="B6" s="5">
        <v>4</v>
      </c>
      <c r="C6" s="5">
        <v>56.6</v>
      </c>
      <c r="D6" s="6">
        <v>125.777777777778</v>
      </c>
      <c r="E6" s="5">
        <v>85</v>
      </c>
      <c r="F6" s="7">
        <v>45328</v>
      </c>
      <c r="G6" s="5">
        <v>100</v>
      </c>
      <c r="H6" s="5">
        <v>100</v>
      </c>
      <c r="I6" s="5">
        <v>100</v>
      </c>
      <c r="J6" s="5">
        <v>0</v>
      </c>
      <c r="K6" s="5">
        <v>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</row>
    <row r="7" spans="1:22">
      <c r="A7" s="5" t="s">
        <v>117</v>
      </c>
      <c r="B7" s="5">
        <v>4</v>
      </c>
      <c r="C7" s="5">
        <v>69.3</v>
      </c>
      <c r="D7" s="6">
        <v>154</v>
      </c>
      <c r="E7" s="5">
        <v>84</v>
      </c>
      <c r="F7" s="7">
        <v>45328</v>
      </c>
      <c r="G7" s="5">
        <v>94</v>
      </c>
      <c r="H7" s="5">
        <v>96</v>
      </c>
      <c r="I7" s="5">
        <v>92.5</v>
      </c>
      <c r="J7" s="5">
        <v>7.5</v>
      </c>
      <c r="K7" s="5">
        <v>0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</row>
    <row r="8" spans="1:22">
      <c r="A8" s="5" t="s">
        <v>118</v>
      </c>
      <c r="B8" s="5">
        <v>4</v>
      </c>
      <c r="C8" s="5">
        <v>63.2</v>
      </c>
      <c r="D8" s="6">
        <v>140.444444444444</v>
      </c>
      <c r="E8" s="5">
        <v>84</v>
      </c>
      <c r="F8" s="7">
        <v>45330</v>
      </c>
      <c r="G8" s="5">
        <v>100</v>
      </c>
      <c r="H8" s="5">
        <v>45</v>
      </c>
      <c r="I8" s="5">
        <v>100</v>
      </c>
      <c r="J8" s="5">
        <v>0</v>
      </c>
      <c r="K8" s="5">
        <v>0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</row>
    <row r="9" spans="1:22">
      <c r="A9" s="5" t="s">
        <v>119</v>
      </c>
      <c r="B9" s="5">
        <v>4</v>
      </c>
      <c r="C9" s="5">
        <v>109.5</v>
      </c>
      <c r="D9" s="6">
        <v>243.333333333333</v>
      </c>
      <c r="E9" s="5">
        <v>83</v>
      </c>
      <c r="F9" s="7">
        <v>45329</v>
      </c>
      <c r="G9" s="5">
        <v>100</v>
      </c>
      <c r="H9" s="5">
        <v>100</v>
      </c>
      <c r="I9" s="5">
        <v>100</v>
      </c>
      <c r="J9" s="5">
        <v>0</v>
      </c>
      <c r="K9" s="5">
        <v>0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</row>
    <row r="10" spans="1:22">
      <c r="A10" s="5" t="s">
        <v>120</v>
      </c>
      <c r="B10" s="5">
        <v>4</v>
      </c>
      <c r="C10" s="5">
        <v>17</v>
      </c>
      <c r="D10" s="6">
        <v>37.7777777777778</v>
      </c>
      <c r="E10" s="8">
        <v>83</v>
      </c>
      <c r="F10" s="9">
        <v>45335</v>
      </c>
      <c r="G10" s="8">
        <v>100</v>
      </c>
      <c r="H10" s="5">
        <v>98</v>
      </c>
      <c r="I10" s="5">
        <v>95.56</v>
      </c>
      <c r="J10" s="5">
        <v>4.4400000000000004</v>
      </c>
      <c r="K10" s="5">
        <v>0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</row>
    <row r="11" spans="1:22">
      <c r="A11" s="5" t="s">
        <v>121</v>
      </c>
      <c r="B11" s="5">
        <v>4</v>
      </c>
      <c r="C11" s="5">
        <v>19.600000000000001</v>
      </c>
      <c r="D11" s="6">
        <v>43.5555555555556</v>
      </c>
      <c r="E11" s="8">
        <v>56</v>
      </c>
      <c r="F11" s="9">
        <v>45328</v>
      </c>
      <c r="G11" s="8">
        <v>100</v>
      </c>
      <c r="H11" s="5">
        <v>100</v>
      </c>
      <c r="I11" s="5">
        <v>100</v>
      </c>
      <c r="J11" s="5">
        <v>0</v>
      </c>
      <c r="K11" s="5">
        <v>0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</row>
    <row r="12" spans="1:22">
      <c r="A12" s="5" t="s">
        <v>122</v>
      </c>
      <c r="B12" s="5">
        <v>4</v>
      </c>
      <c r="C12" s="5">
        <v>22.4</v>
      </c>
      <c r="D12" s="6">
        <v>49.7777777777778</v>
      </c>
      <c r="E12" s="8">
        <v>56</v>
      </c>
      <c r="F12" s="9">
        <v>45330</v>
      </c>
      <c r="G12" s="8">
        <v>100</v>
      </c>
      <c r="H12" s="5">
        <v>100</v>
      </c>
      <c r="I12" s="5">
        <v>97.5</v>
      </c>
      <c r="J12" s="5">
        <v>2.5</v>
      </c>
      <c r="K12" s="5">
        <v>0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</row>
    <row r="13" spans="1:22">
      <c r="A13" s="5" t="s">
        <v>123</v>
      </c>
      <c r="B13" s="5">
        <v>4</v>
      </c>
      <c r="C13" s="5">
        <v>51</v>
      </c>
      <c r="D13" s="6">
        <v>113.333333333333</v>
      </c>
      <c r="E13" s="8">
        <v>80</v>
      </c>
      <c r="F13" s="9">
        <v>45328</v>
      </c>
      <c r="G13" s="8">
        <v>100</v>
      </c>
      <c r="H13" s="5">
        <v>100</v>
      </c>
      <c r="I13" s="5">
        <v>100</v>
      </c>
      <c r="J13" s="5">
        <v>0</v>
      </c>
      <c r="K13" s="5">
        <v>0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</row>
    <row r="14" spans="1:22">
      <c r="A14" s="5" t="s">
        <v>124</v>
      </c>
      <c r="B14" s="5">
        <v>4</v>
      </c>
      <c r="C14" s="5">
        <v>50</v>
      </c>
      <c r="D14" s="6">
        <v>111.111111111111</v>
      </c>
      <c r="E14" s="8">
        <v>76</v>
      </c>
      <c r="F14" s="9">
        <v>45328</v>
      </c>
      <c r="G14" s="8">
        <v>100</v>
      </c>
      <c r="H14" s="5">
        <v>94</v>
      </c>
      <c r="I14" s="5">
        <v>100</v>
      </c>
      <c r="J14" s="5">
        <v>0</v>
      </c>
      <c r="K14" s="5">
        <v>0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</row>
    <row r="15" spans="1:22">
      <c r="A15" s="5" t="s">
        <v>125</v>
      </c>
      <c r="B15" s="5">
        <v>4</v>
      </c>
      <c r="C15" s="5">
        <v>7.1</v>
      </c>
      <c r="D15" s="6">
        <v>15.7777777777778</v>
      </c>
      <c r="E15" s="8">
        <v>42</v>
      </c>
      <c r="F15" s="9">
        <v>45330</v>
      </c>
      <c r="G15" s="8">
        <v>50</v>
      </c>
      <c r="H15" s="5">
        <v>100</v>
      </c>
      <c r="I15" s="5">
        <v>91.11</v>
      </c>
      <c r="J15" s="5">
        <v>8.89</v>
      </c>
      <c r="K15" s="5">
        <v>0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</row>
    <row r="16" spans="1:22">
      <c r="A16" s="5" t="s">
        <v>126</v>
      </c>
      <c r="B16" s="5">
        <v>4</v>
      </c>
      <c r="C16" s="5">
        <v>47</v>
      </c>
      <c r="D16" s="6">
        <v>104.444444444444</v>
      </c>
      <c r="E16" s="8">
        <v>60</v>
      </c>
      <c r="F16" s="9">
        <v>45328</v>
      </c>
      <c r="G16" s="8">
        <v>100</v>
      </c>
      <c r="H16" s="5">
        <v>98</v>
      </c>
      <c r="I16" s="5">
        <v>100</v>
      </c>
      <c r="J16" s="5">
        <v>0</v>
      </c>
      <c r="K16" s="5">
        <v>0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</row>
    <row r="17" spans="1:22">
      <c r="A17" s="5" t="s">
        <v>127</v>
      </c>
      <c r="B17" s="5">
        <v>4</v>
      </c>
      <c r="C17" s="5">
        <v>78.900000000000006</v>
      </c>
      <c r="D17" s="6">
        <v>175.333333333333</v>
      </c>
      <c r="E17" s="8">
        <v>79</v>
      </c>
      <c r="F17" s="9">
        <v>45333</v>
      </c>
      <c r="G17" s="8">
        <v>100</v>
      </c>
      <c r="H17" s="5">
        <v>98</v>
      </c>
      <c r="I17" s="5">
        <v>100</v>
      </c>
      <c r="J17" s="5">
        <v>0</v>
      </c>
      <c r="K17" s="5">
        <v>0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</row>
    <row r="18" spans="1:22">
      <c r="A18" s="5" t="s">
        <v>128</v>
      </c>
      <c r="B18" s="5">
        <v>4</v>
      </c>
      <c r="C18" s="5">
        <v>74.5</v>
      </c>
      <c r="D18" s="6">
        <v>165.555555555556</v>
      </c>
      <c r="E18" s="5">
        <v>79</v>
      </c>
      <c r="F18" s="7">
        <v>45330</v>
      </c>
      <c r="G18" s="5">
        <v>100</v>
      </c>
      <c r="H18" s="5">
        <v>100</v>
      </c>
      <c r="I18" s="5">
        <v>100</v>
      </c>
      <c r="J18" s="5">
        <v>0</v>
      </c>
      <c r="K18" s="5">
        <v>0</v>
      </c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</row>
    <row r="19" spans="1:22">
      <c r="A19" s="5" t="s">
        <v>129</v>
      </c>
      <c r="B19" s="5">
        <v>4</v>
      </c>
      <c r="C19" s="5">
        <v>27</v>
      </c>
      <c r="D19" s="6">
        <v>60</v>
      </c>
      <c r="E19" s="5">
        <v>77</v>
      </c>
      <c r="F19" s="7">
        <v>45330</v>
      </c>
      <c r="G19" s="5">
        <v>100</v>
      </c>
      <c r="H19" s="5">
        <v>100</v>
      </c>
      <c r="I19" s="5">
        <v>100</v>
      </c>
      <c r="J19" s="5">
        <v>0</v>
      </c>
      <c r="K19" s="5">
        <v>0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</row>
    <row r="20" spans="1:22">
      <c r="A20" s="5" t="s">
        <v>130</v>
      </c>
      <c r="B20" s="5">
        <v>4</v>
      </c>
      <c r="C20" s="5">
        <v>88.8</v>
      </c>
      <c r="D20" s="6">
        <v>197.333333333333</v>
      </c>
      <c r="E20" s="5">
        <v>77</v>
      </c>
      <c r="F20" s="7">
        <v>45329</v>
      </c>
      <c r="G20" s="5">
        <v>100</v>
      </c>
      <c r="H20" s="5">
        <v>100</v>
      </c>
      <c r="I20" s="5">
        <v>85</v>
      </c>
      <c r="J20" s="5">
        <v>0</v>
      </c>
      <c r="K20" s="5">
        <v>15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</row>
    <row r="21" spans="1:22">
      <c r="A21" s="5" t="s">
        <v>131</v>
      </c>
      <c r="B21" s="5">
        <v>4</v>
      </c>
      <c r="C21" s="5">
        <v>20.7</v>
      </c>
      <c r="D21" s="6">
        <v>46</v>
      </c>
      <c r="E21" s="5">
        <v>77</v>
      </c>
      <c r="F21" s="7">
        <v>45329</v>
      </c>
      <c r="G21" s="5">
        <v>100</v>
      </c>
      <c r="H21" s="5">
        <v>100</v>
      </c>
      <c r="I21" s="5">
        <v>100</v>
      </c>
      <c r="J21" s="5">
        <v>0</v>
      </c>
      <c r="K21" s="5">
        <v>0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</row>
    <row r="22" spans="1:22">
      <c r="A22" s="5" t="s">
        <v>132</v>
      </c>
      <c r="B22" s="5">
        <v>4</v>
      </c>
      <c r="C22" s="5">
        <v>3.3</v>
      </c>
      <c r="D22" s="6">
        <v>7.3333333333333304</v>
      </c>
      <c r="E22" s="5">
        <v>82</v>
      </c>
      <c r="F22" s="7">
        <v>45330</v>
      </c>
      <c r="G22" s="5">
        <v>94</v>
      </c>
      <c r="H22" s="5">
        <v>96</v>
      </c>
      <c r="I22" s="5">
        <v>97.56</v>
      </c>
      <c r="J22" s="5">
        <v>2.44</v>
      </c>
      <c r="K22" s="5">
        <v>0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</row>
    <row r="23" spans="1:22">
      <c r="A23" s="5" t="s">
        <v>133</v>
      </c>
      <c r="B23" s="5">
        <v>4</v>
      </c>
      <c r="C23" s="5">
        <v>6.9</v>
      </c>
      <c r="D23" s="6">
        <v>15.3333333333333</v>
      </c>
      <c r="E23" s="5">
        <v>83</v>
      </c>
      <c r="F23" s="7">
        <v>45329</v>
      </c>
      <c r="G23" s="5">
        <v>94</v>
      </c>
      <c r="H23" s="5">
        <v>96</v>
      </c>
      <c r="I23" s="5">
        <v>88.89</v>
      </c>
      <c r="J23" s="5">
        <v>4.4400000000000004</v>
      </c>
      <c r="K23" s="6">
        <v>6.6666666670000003</v>
      </c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spans="1:22">
      <c r="A24" s="5" t="s">
        <v>134</v>
      </c>
      <c r="B24" s="5">
        <v>4</v>
      </c>
      <c r="C24" s="5">
        <v>26.4</v>
      </c>
      <c r="D24" s="6">
        <v>58.6666666666667</v>
      </c>
      <c r="E24" s="5">
        <v>83</v>
      </c>
      <c r="F24" s="7">
        <v>45329</v>
      </c>
      <c r="G24" s="5">
        <v>94</v>
      </c>
      <c r="H24" s="5">
        <v>92</v>
      </c>
      <c r="I24" s="5">
        <v>90.48</v>
      </c>
      <c r="J24" s="5">
        <v>9.52</v>
      </c>
      <c r="K24" s="5">
        <v>0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</row>
    <row r="25" spans="1:22">
      <c r="A25" s="5" t="s">
        <v>135</v>
      </c>
      <c r="B25" s="5">
        <v>4</v>
      </c>
      <c r="C25" s="5">
        <v>15.8</v>
      </c>
      <c r="D25" s="6">
        <v>35.1111111111111</v>
      </c>
      <c r="E25" s="5">
        <v>83</v>
      </c>
      <c r="F25" s="7">
        <v>45329</v>
      </c>
      <c r="G25" s="5">
        <v>100</v>
      </c>
      <c r="H25" s="5">
        <v>100</v>
      </c>
      <c r="I25" s="5">
        <v>97.78</v>
      </c>
      <c r="J25" s="5">
        <v>2.2200000000000002</v>
      </c>
      <c r="K25" s="5">
        <v>0</v>
      </c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</row>
    <row r="26" spans="1:22">
      <c r="A26" s="5" t="s">
        <v>136</v>
      </c>
      <c r="B26" s="5">
        <v>4</v>
      </c>
      <c r="C26" s="5">
        <v>27.8</v>
      </c>
      <c r="D26" s="6">
        <v>61.7777777777778</v>
      </c>
      <c r="E26" s="5">
        <v>83</v>
      </c>
      <c r="F26" s="7">
        <v>45328</v>
      </c>
      <c r="G26" s="5">
        <v>100</v>
      </c>
      <c r="H26" s="5">
        <v>100</v>
      </c>
      <c r="I26" s="5">
        <v>100</v>
      </c>
      <c r="J26" s="5">
        <v>0</v>
      </c>
      <c r="K26" s="5">
        <v>0</v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</row>
    <row r="27" spans="1:22">
      <c r="A27" s="5" t="s">
        <v>137</v>
      </c>
      <c r="B27" s="5">
        <v>4</v>
      </c>
      <c r="C27" s="5">
        <v>10.9</v>
      </c>
      <c r="D27" s="6">
        <v>24.2222222222222</v>
      </c>
      <c r="E27" s="5">
        <v>68</v>
      </c>
      <c r="F27" s="10">
        <v>45330</v>
      </c>
      <c r="G27" s="5">
        <v>100</v>
      </c>
      <c r="H27" s="5">
        <v>96</v>
      </c>
      <c r="I27" s="5">
        <v>42.11</v>
      </c>
      <c r="J27" s="5">
        <v>57.89</v>
      </c>
      <c r="K27" s="5">
        <v>0</v>
      </c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</row>
    <row r="28" spans="1:22">
      <c r="A28" s="5" t="s">
        <v>138</v>
      </c>
      <c r="B28" s="5">
        <v>5</v>
      </c>
      <c r="C28" s="5">
        <v>120</v>
      </c>
      <c r="D28" s="6">
        <v>266.66666666666703</v>
      </c>
      <c r="E28" s="5">
        <v>48</v>
      </c>
      <c r="F28" s="10">
        <v>45337</v>
      </c>
      <c r="G28" s="5">
        <v>100</v>
      </c>
      <c r="H28" s="5">
        <v>100</v>
      </c>
      <c r="I28" s="5">
        <v>97.92</v>
      </c>
      <c r="J28" s="5">
        <v>2.08</v>
      </c>
      <c r="K28" s="5">
        <v>0</v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</row>
    <row r="29" spans="1:22">
      <c r="A29" s="5" t="s">
        <v>139</v>
      </c>
      <c r="B29" s="5">
        <v>5</v>
      </c>
      <c r="C29" s="5">
        <v>42.6</v>
      </c>
      <c r="D29" s="6">
        <v>94.6666666666667</v>
      </c>
      <c r="E29" s="5">
        <v>50</v>
      </c>
      <c r="F29" s="10">
        <v>45337</v>
      </c>
      <c r="G29" s="5">
        <v>100</v>
      </c>
      <c r="H29" s="5">
        <v>98</v>
      </c>
      <c r="I29" s="5">
        <v>90.24</v>
      </c>
      <c r="J29" s="5">
        <v>9.76</v>
      </c>
      <c r="K29" s="5">
        <v>0</v>
      </c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</row>
    <row r="30" spans="1:22">
      <c r="A30" s="5"/>
      <c r="B30" s="5"/>
      <c r="C30" s="11">
        <f>SUM(C4:C29)</f>
        <v>1188.3</v>
      </c>
      <c r="D30" s="11">
        <f>SUM(D4:D29)</f>
        <v>2640.6666666666702</v>
      </c>
      <c r="E30" s="5"/>
      <c r="F30" s="7"/>
      <c r="G30" s="5"/>
      <c r="H30" s="5"/>
      <c r="I30" s="5"/>
      <c r="J30" s="5"/>
      <c r="K30" s="5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</row>
    <row r="31" spans="1:22"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</row>
    <row r="32" spans="1:22"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</row>
    <row r="33" spans="12:22"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</row>
    <row r="34" spans="12:22"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</row>
    <row r="35" spans="12:22"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</row>
    <row r="36" spans="12:22"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spans="12:22"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spans="12:22"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</row>
    <row r="39" spans="12:22"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</row>
    <row r="40" spans="12:22"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 spans="12:22"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</sheetData>
  <mergeCells count="1">
    <mergeCell ref="N2:Q2"/>
  </mergeCells>
  <conditionalFormatting sqref="A3:A30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H2" sqref="H2:H4"/>
    </sheetView>
  </sheetViews>
  <sheetFormatPr defaultColWidth="8.75" defaultRowHeight="14.45"/>
  <cols>
    <col min="1" max="1" width="10.375" customWidth="1"/>
    <col min="2" max="2" width="7.25" customWidth="1"/>
    <col min="3" max="3" width="7.625" customWidth="1"/>
    <col min="4" max="4" width="9.125" customWidth="1"/>
  </cols>
  <sheetData>
    <row r="1" spans="1:6">
      <c r="A1" t="s">
        <v>86</v>
      </c>
      <c r="B1" t="s">
        <v>140</v>
      </c>
      <c r="C1" t="s">
        <v>141</v>
      </c>
      <c r="D1" t="s">
        <v>142</v>
      </c>
    </row>
    <row r="2" spans="1:6">
      <c r="A2" t="s">
        <v>143</v>
      </c>
      <c r="B2">
        <v>75</v>
      </c>
      <c r="D2">
        <v>65</v>
      </c>
      <c r="F2" s="1" cm="1">
        <f t="array" ref="F2:F4">_xlfn.UNIQUE(Cotton_Data_Upload!B4:B100)</f>
        <v>4</v>
      </c>
    </row>
    <row r="3" spans="1:6">
      <c r="A3" t="s">
        <v>110</v>
      </c>
      <c r="B3">
        <v>90</v>
      </c>
      <c r="D3">
        <v>80</v>
      </c>
      <c r="F3" s="1">
        <v>5</v>
      </c>
    </row>
    <row r="4" spans="1:6">
      <c r="A4" t="s">
        <v>144</v>
      </c>
      <c r="B4">
        <v>90</v>
      </c>
      <c r="D4">
        <v>80</v>
      </c>
      <c r="F4" s="1">
        <v>0</v>
      </c>
    </row>
    <row r="5" spans="1:6">
      <c r="A5" t="s">
        <v>145</v>
      </c>
      <c r="B5">
        <v>90</v>
      </c>
      <c r="D5">
        <v>85</v>
      </c>
    </row>
    <row r="6" spans="1:6">
      <c r="A6" t="s">
        <v>146</v>
      </c>
      <c r="C6">
        <v>8.5</v>
      </c>
      <c r="D6">
        <v>15</v>
      </c>
    </row>
    <row r="7" spans="1:6">
      <c r="A7" t="s">
        <v>91</v>
      </c>
      <c r="C7">
        <v>1.5</v>
      </c>
      <c r="D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aarya</dc:creator>
  <cp:keywords/>
  <dc:description/>
  <cp:lastModifiedBy/>
  <cp:revision/>
  <dcterms:created xsi:type="dcterms:W3CDTF">2026-07-23T06:50:00Z</dcterms:created>
  <dcterms:modified xsi:type="dcterms:W3CDTF">2026-07-30T08:40:15Z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8184199A1AF546DAB0C80103290B3589_13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